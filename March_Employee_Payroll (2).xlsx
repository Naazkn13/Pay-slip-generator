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1" sheetId="1" state="visible" r:id="rId2"/>
    <sheet name="Employee_2" sheetId="2" state="visible" r:id="rId3"/>
    <sheet name="Employee_4" sheetId="3" state="visible" r:id="rId4"/>
    <sheet name="Employee_6" sheetId="4" state="visible" r:id="rId5"/>
    <sheet name="Employee_7" sheetId="5" state="visible" r:id="rId6"/>
    <sheet name="Employee_10" sheetId="6" state="visible" r:id="rId7"/>
    <sheet name="Employee_12" sheetId="7" state="visible" r:id="rId8"/>
    <sheet name="Employee_13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<sst xmlns="http://schemas.openxmlformats.org/spreadsheetml/2006/main" count="196" uniqueCount="49">
  <si>
    <t xml:space="preserve">Employee Name</t>
  </si>
  <si>
    <t xml:space="preserve">Yasmeen shaikh</t>
  </si>
  <si>
    <t xml:space="preserve">Basic Monthly Salary</t>
  </si>
  <si>
    <t xml:space="preserve">Shift Hours (per day)</t>
  </si>
  <si>
    <t xml:space="preserve">Working Days in Month (March)</t>
  </si>
  <si>
    <t xml:space="preserve">Per Day Salary</t>
  </si>
  <si>
    <t xml:space="preserve">Date</t>
  </si>
  <si>
    <t xml:space="preserve">In Time</t>
  </si>
  <si>
    <t xml:space="preserve">Out Time</t>
  </si>
  <si>
    <t xml:space="preserve">Work Hours</t>
  </si>
  <si>
    <t xml:space="preserve">Hours (Number)</t>
  </si>
  <si>
    <t xml:space="preserve">Overtime</t>
  </si>
  <si>
    <t xml:space="preserve">Short Hours</t>
  </si>
  <si>
    <t xml:space="preserve">Salary for Day</t>
  </si>
  <si>
    <t xml:space="preserve">1(Sunday)</t>
  </si>
  <si>
    <t xml:space="preserve">3(HOLY)</t>
  </si>
  <si>
    <t xml:space="preserve">4(PL)</t>
  </si>
  <si>
    <t xml:space="preserve">8(Sunday)</t>
  </si>
  <si>
    <t xml:space="preserve">15(Sunday)</t>
  </si>
  <si>
    <t xml:space="preserve">21(IDD)</t>
  </si>
  <si>
    <t xml:space="preserve">22(Sunday)</t>
  </si>
  <si>
    <t xml:space="preserve">29(Sunday)</t>
  </si>
  <si>
    <t xml:space="preserve">31(LAST ASHRA))</t>
  </si>
  <si>
    <t xml:space="preserve">TOTAL</t>
  </si>
  <si>
    <t xml:space="preserve">TOTAL-PT</t>
  </si>
  <si>
    <t xml:space="preserve">Shruti Kate</t>
  </si>
  <si>
    <t xml:space="preserve">9(PL)</t>
  </si>
  <si>
    <t xml:space="preserve">19(A)</t>
  </si>
  <si>
    <t xml:space="preserve">27(A)</t>
  </si>
  <si>
    <t xml:space="preserve">CONVEYANCE</t>
  </si>
  <si>
    <t xml:space="preserve">30x20</t>
  </si>
  <si>
    <t xml:space="preserve">TOTAL-PT+CONVEYANCE</t>
  </si>
  <si>
    <t xml:space="preserve">Mariyam Mushtak Shaikh</t>
  </si>
  <si>
    <t xml:space="preserve">23(PL)</t>
  </si>
  <si>
    <t xml:space="preserve">24(LAST ASHRA)</t>
  </si>
  <si>
    <t xml:space="preserve">Sultana shaikh</t>
  </si>
  <si>
    <t xml:space="preserve">19(PL)</t>
  </si>
  <si>
    <t xml:space="preserve">31(LAST ASHRA)</t>
  </si>
  <si>
    <t xml:space="preserve">Yogesh Mahadik</t>
  </si>
  <si>
    <t xml:space="preserve">Asifa Shaikh</t>
  </si>
  <si>
    <t xml:space="preserve">3 (HOLY)</t>
  </si>
  <si>
    <t xml:space="preserve">31(PL AMOUNT)</t>
  </si>
  <si>
    <t xml:space="preserve">(LAST ASHRA)</t>
  </si>
  <si>
    <t xml:space="preserve">Shamim Shirgaonkar</t>
  </si>
  <si>
    <t xml:space="preserve">19 (PL)</t>
  </si>
  <si>
    <t xml:space="preserve">20 (LAST ASHRA)</t>
  </si>
  <si>
    <t xml:space="preserve">Shabnam Shaikh</t>
  </si>
  <si>
    <t xml:space="preserve">9 (PL)</t>
  </si>
  <si>
    <t xml:space="preserve">23(LAST ASHRA)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</si>
</sst>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\ AM/PM"/>
    <numFmt numFmtId="166" formatCode="[hh]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30.14"/>
    <col collapsed="false" customWidth="true" hidden="false" outlineLevel="0" max="2" min="2" style="0" width="16.86"/>
    <col collapsed="false" customWidth="true" hidden="false" outlineLevel="0" max="3" min="3" style="0" width="18.58"/>
    <col collapsed="false" customWidth="true" hidden="false" outlineLevel="0" max="4" min="4" style="0" width="16.57"/>
    <col collapsed="false" customWidth="true" hidden="false" outlineLevel="0" max="5" min="5" style="0" width="18.14"/>
    <col collapsed="false" customWidth="true" hidden="false" outlineLevel="0" max="6" min="6" style="0" width="16.29"/>
    <col collapsed="false" customWidth="true" hidden="false" outlineLevel="0" max="7" min="7" style="0" width="16.42"/>
    <col collapsed="false" customWidth="true" hidden="false" outlineLevel="0" max="8" min="8" style="0" width="18.7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19250</v>
      </c>
    </row>
    <row r="3" customFormat="false" ht="15" hidden="false" customHeight="false" outlineLevel="0" collapsed="false">
      <c r="A3" s="0" t="s">
        <v>3</v>
      </c>
      <c r="B3" s="0" t="n">
        <v>7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641.666666666667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0.416666666666667</v>
      </c>
      <c r="C8" s="3" t="n">
        <v>0.708333333333333</v>
      </c>
      <c r="D8" s="4" t="n">
        <f aca="false">IF(C8&lt;B8,C8+1,C8)-B8</f>
        <v>0.291666666666667</v>
      </c>
      <c r="E8" s="0" t="n">
        <f aca="false">D8*24</f>
        <v>7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641.666666666667</v>
      </c>
    </row>
    <row r="9" customFormat="false" ht="15" hidden="false" customHeight="false" outlineLevel="0" collapsed="false">
      <c r="A9" s="0" t="n">
        <v>2</v>
      </c>
      <c r="B9" s="3" t="n">
        <v>0.416666666666667</v>
      </c>
      <c r="C9" s="3" t="n">
        <v>0.708333333333333</v>
      </c>
      <c r="D9" s="4" t="n">
        <f aca="false">IF(C9&lt;B9,C9+1,C9)-B9</f>
        <v>0.291666666666667</v>
      </c>
      <c r="E9" s="0" t="n">
        <f aca="false">D9*24</f>
        <v>7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641.666666666667</v>
      </c>
    </row>
    <row r="10" customFormat="false" ht="15" hidden="false" customHeight="false" outlineLevel="0" collapsed="false">
      <c r="A10" s="2" t="s">
        <v>15</v>
      </c>
      <c r="B10" s="3" t="n">
        <v>0.416666666666667</v>
      </c>
      <c r="C10" s="3" t="n">
        <v>0.708333333333333</v>
      </c>
      <c r="D10" s="4" t="n">
        <f aca="false">IF(C10&lt;B10,C10+1,C10)-B10</f>
        <v>0.291666666666667</v>
      </c>
      <c r="E10" s="0" t="n">
        <f aca="false">D10*24</f>
        <v>7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641.666666666667</v>
      </c>
    </row>
    <row r="11" customFormat="false" ht="15" hidden="false" customHeight="false" outlineLevel="0" collapsed="false">
      <c r="A11" s="2" t="s">
        <v>16</v>
      </c>
      <c r="B11" s="3" t="n">
        <v>0.416666666666667</v>
      </c>
      <c r="C11" s="3" t="n">
        <v>0.708333333333333</v>
      </c>
      <c r="D11" s="4" t="n">
        <f aca="false">IF(C11&lt;B11,C11+1,C11)-B11</f>
        <v>0.291666666666667</v>
      </c>
      <c r="E11" s="0" t="n">
        <f aca="false">D11*24</f>
        <v>7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641.666666666667</v>
      </c>
    </row>
    <row r="12" customFormat="false" ht="15" hidden="false" customHeight="false" outlineLevel="0" collapsed="false">
      <c r="A12" s="0" t="n">
        <v>5</v>
      </c>
      <c r="B12" s="3" t="n">
        <v>0.416666666666667</v>
      </c>
      <c r="C12" s="3" t="n">
        <v>0.708333333333333</v>
      </c>
      <c r="D12" s="4" t="n">
        <f aca="false">IF(C12&lt;B12,C12+1,C12)-B12</f>
        <v>0.291666666666667</v>
      </c>
      <c r="E12" s="0" t="n">
        <f aca="false">D12*24</f>
        <v>7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641.666666666667</v>
      </c>
    </row>
    <row r="13" customFormat="false" ht="15" hidden="false" customHeight="false" outlineLevel="0" collapsed="false">
      <c r="A13" s="0" t="n">
        <v>6</v>
      </c>
      <c r="B13" s="3" t="n">
        <v>0.416666666666667</v>
      </c>
      <c r="C13" s="3" t="n">
        <v>0.708333333333333</v>
      </c>
      <c r="D13" s="4" t="n">
        <f aca="false">IF(C13&lt;B13,C13+1,C13)-B13</f>
        <v>0.291666666666667</v>
      </c>
      <c r="E13" s="0" t="n">
        <f aca="false">D13*24</f>
        <v>7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641.666666666667</v>
      </c>
    </row>
    <row r="14" customFormat="false" ht="15" hidden="false" customHeight="false" outlineLevel="0" collapsed="false">
      <c r="A14" s="0" t="n">
        <v>7</v>
      </c>
      <c r="B14" s="3" t="n">
        <v>0.416666666666667</v>
      </c>
      <c r="C14" s="3" t="n">
        <v>0.708333333333333</v>
      </c>
      <c r="D14" s="4" t="n">
        <f aca="false">IF(C14&lt;B14,C14+1,C14)-B14</f>
        <v>0.291666666666667</v>
      </c>
      <c r="E14" s="0" t="n">
        <f aca="false">D14*24</f>
        <v>7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641.666666666667</v>
      </c>
    </row>
    <row r="15" customFormat="false" ht="15" hidden="false" customHeight="false" outlineLevel="0" collapsed="false">
      <c r="A15" s="2" t="s">
        <v>17</v>
      </c>
      <c r="B15" s="3" t="n">
        <v>0.416666666666667</v>
      </c>
      <c r="C15" s="3" t="n">
        <v>0.708333333333333</v>
      </c>
      <c r="D15" s="4" t="n">
        <f aca="false">IF(C15&lt;B15,C15+1,C15)-B15</f>
        <v>0.291666666666667</v>
      </c>
      <c r="E15" s="0" t="n">
        <f aca="false">D15*24</f>
        <v>7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641.666666666667</v>
      </c>
    </row>
    <row r="16" customFormat="false" ht="15" hidden="false" customHeight="false" outlineLevel="0" collapsed="false">
      <c r="A16" s="0" t="n">
        <v>9</v>
      </c>
      <c r="B16" s="3" t="n">
        <v>0.416666666666667</v>
      </c>
      <c r="C16" s="3" t="n">
        <v>0.708333333333333</v>
      </c>
      <c r="D16" s="4" t="n">
        <f aca="false">IF(C16&lt;B16,C16+1,C16)-B16</f>
        <v>0.291666666666667</v>
      </c>
      <c r="E16" s="0" t="n">
        <f aca="false">D16*24</f>
        <v>7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641.666666666667</v>
      </c>
    </row>
    <row r="17" customFormat="false" ht="15" hidden="false" customHeight="false" outlineLevel="0" collapsed="false">
      <c r="A17" s="0" t="n">
        <v>10</v>
      </c>
      <c r="B17" s="3" t="n">
        <v>0.416666666666667</v>
      </c>
      <c r="C17" s="3" t="n">
        <v>0.708333333333333</v>
      </c>
      <c r="D17" s="4" t="n">
        <f aca="false">IF(C17&lt;B17,C17+1,C17)-B17</f>
        <v>0.291666666666667</v>
      </c>
      <c r="E17" s="0" t="n">
        <f aca="false">D17*24</f>
        <v>7</v>
      </c>
      <c r="F17" s="0" t="n">
        <f aca="false">IF(E17&gt;$B$3,E17-$B$3,0)</f>
        <v>0</v>
      </c>
      <c r="G17" s="0" t="n">
        <f aca="false">IF(E17&lt;$B$3,$B$3-E17,0)</f>
        <v>0</v>
      </c>
      <c r="H17" s="0" t="n">
        <f aca="false">$B$5*(E17/$B$3)</f>
        <v>641.666666666667</v>
      </c>
    </row>
    <row r="18" customFormat="false" ht="15" hidden="false" customHeight="false" outlineLevel="0" collapsed="false">
      <c r="A18" s="0" t="n">
        <v>11</v>
      </c>
      <c r="B18" s="3" t="n">
        <v>0.416666666666667</v>
      </c>
      <c r="C18" s="3" t="n">
        <v>0.708333333333333</v>
      </c>
      <c r="D18" s="4" t="n">
        <f aca="false">IF(C18&lt;B18,C18+1,C18)-B18</f>
        <v>0.291666666666667</v>
      </c>
      <c r="E18" s="0" t="n">
        <f aca="false">D18*24</f>
        <v>7</v>
      </c>
      <c r="F18" s="0" t="n">
        <f aca="false">IF(E18&gt;$B$3,E18-$B$3,0)</f>
        <v>0</v>
      </c>
      <c r="G18" s="0" t="n">
        <f aca="false">IF(E18&lt;$B$3,$B$3-E18,0)</f>
        <v>0</v>
      </c>
      <c r="H18" s="0" t="n">
        <f aca="false">$B$5*(E18/$B$3)</f>
        <v>641.666666666667</v>
      </c>
    </row>
    <row r="19" customFormat="false" ht="15" hidden="false" customHeight="false" outlineLevel="0" collapsed="false">
      <c r="A19" s="0" t="n">
        <v>12</v>
      </c>
      <c r="B19" s="3" t="n">
        <v>0.416666666666667</v>
      </c>
      <c r="C19" s="3" t="n">
        <v>0.708333333333333</v>
      </c>
      <c r="D19" s="4" t="n">
        <f aca="false">IF(C19&lt;B19,C19+1,C19)-B19</f>
        <v>0.291666666666667</v>
      </c>
      <c r="E19" s="0" t="n">
        <f aca="false">D19*24</f>
        <v>7</v>
      </c>
      <c r="F19" s="0" t="n">
        <f aca="false">IF(E19&gt;$B$3,E19-$B$3,0)</f>
        <v>0</v>
      </c>
      <c r="G19" s="0" t="n">
        <f aca="false">IF(E19&lt;$B$3,$B$3-E19,0)</f>
        <v>0</v>
      </c>
      <c r="H19" s="0" t="n">
        <f aca="false">$B$5*(E19/$B$3)</f>
        <v>641.666666666667</v>
      </c>
    </row>
    <row r="20" customFormat="false" ht="15" hidden="false" customHeight="false" outlineLevel="0" collapsed="false">
      <c r="A20" s="0" t="n">
        <v>13</v>
      </c>
      <c r="B20" s="3" t="n">
        <v>0.416666666666667</v>
      </c>
      <c r="C20" s="3" t="n">
        <v>0.708333333333333</v>
      </c>
      <c r="D20" s="4" t="n">
        <f aca="false">IF(C20&lt;B20,C20+1,C20)-B20</f>
        <v>0.291666666666667</v>
      </c>
      <c r="E20" s="0" t="n">
        <f aca="false">D20*24</f>
        <v>7</v>
      </c>
      <c r="F20" s="0" t="n">
        <f aca="false">IF(E20&gt;$B$3,E20-$B$3,0)</f>
        <v>0</v>
      </c>
      <c r="G20" s="0" t="n">
        <f aca="false">IF(E20&lt;$B$3,$B$3-E20,0)</f>
        <v>0</v>
      </c>
      <c r="H20" s="0" t="n">
        <f aca="false">$B$5*(E20/$B$3)</f>
        <v>641.666666666667</v>
      </c>
    </row>
    <row r="21" customFormat="false" ht="15" hidden="false" customHeight="false" outlineLevel="0" collapsed="false">
      <c r="A21" s="0" t="n">
        <v>14</v>
      </c>
      <c r="B21" s="3" t="n">
        <v>0.416666666666667</v>
      </c>
      <c r="C21" s="3" t="n">
        <v>0.708333333333333</v>
      </c>
      <c r="D21" s="4" t="n">
        <f aca="false">IF(C21&lt;B21,C21+1,C21)-B21</f>
        <v>0.291666666666667</v>
      </c>
      <c r="E21" s="0" t="n">
        <f aca="false">D21*24</f>
        <v>7</v>
      </c>
      <c r="F21" s="0" t="n">
        <f aca="false">IF(E21&gt;$B$3,E21-$B$3,0)</f>
        <v>0</v>
      </c>
      <c r="G21" s="0" t="n">
        <f aca="false">IF(E21&lt;$B$3,$B$3-E21,0)</f>
        <v>0</v>
      </c>
      <c r="H21" s="0" t="n">
        <f aca="false">$B$5*(E21/$B$3)</f>
        <v>641.666666666667</v>
      </c>
    </row>
    <row r="22" customFormat="false" ht="15" hidden="false" customHeight="false" outlineLevel="0" collapsed="false">
      <c r="A22" s="2" t="s">
        <v>18</v>
      </c>
      <c r="B22" s="3" t="n">
        <v>0.416666666666667</v>
      </c>
      <c r="C22" s="3" t="n">
        <v>0.708333333333333</v>
      </c>
      <c r="D22" s="4" t="n">
        <f aca="false">IF(C22&lt;B22,C22+1,C22)-B22</f>
        <v>0.291666666666667</v>
      </c>
      <c r="E22" s="0" t="n">
        <f aca="false">D22*24</f>
        <v>7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641.666666666667</v>
      </c>
    </row>
    <row r="23" customFormat="false" ht="15" hidden="false" customHeight="false" outlineLevel="0" collapsed="false">
      <c r="A23" s="0" t="n">
        <v>16</v>
      </c>
      <c r="B23" s="3" t="n">
        <v>0.416666666666667</v>
      </c>
      <c r="C23" s="3" t="n">
        <v>0.708333333333333</v>
      </c>
      <c r="D23" s="4" t="n">
        <f aca="false">IF(C23&lt;B23,C23+1,C23)-B23</f>
        <v>0.291666666666667</v>
      </c>
      <c r="E23" s="0" t="n">
        <f aca="false">D23*24</f>
        <v>7</v>
      </c>
      <c r="F23" s="0" t="n">
        <f aca="false">IF(E23&gt;$B$3,E23-$B$3,0)</f>
        <v>0</v>
      </c>
      <c r="G23" s="0" t="n">
        <f aca="false">IF(E23&lt;$B$3,$B$3-E23,0)</f>
        <v>0</v>
      </c>
      <c r="H23" s="0" t="n">
        <f aca="false">$B$5*(E23/$B$3)</f>
        <v>641.666666666667</v>
      </c>
    </row>
    <row r="24" customFormat="false" ht="15" hidden="false" customHeight="false" outlineLevel="0" collapsed="false">
      <c r="A24" s="0" t="n">
        <v>17</v>
      </c>
      <c r="B24" s="3" t="n">
        <v>0.416666666666667</v>
      </c>
      <c r="C24" s="3" t="n">
        <v>0.708333333333333</v>
      </c>
      <c r="D24" s="4" t="n">
        <f aca="false">IF(C24&lt;B24,C24+1,C24)-B24</f>
        <v>0.291666666666667</v>
      </c>
      <c r="E24" s="0" t="n">
        <f aca="false">D24*24</f>
        <v>7</v>
      </c>
      <c r="F24" s="0" t="n">
        <f aca="false">IF(E24&gt;$B$3,E24-$B$3,0)</f>
        <v>0</v>
      </c>
      <c r="G24" s="0" t="n">
        <f aca="false">IF(E24&lt;$B$3,$B$3-E24,0)</f>
        <v>0</v>
      </c>
      <c r="H24" s="0" t="n">
        <f aca="false">$B$5*(E24/$B$3)</f>
        <v>641.666666666667</v>
      </c>
    </row>
    <row r="25" customFormat="false" ht="15" hidden="false" customHeight="false" outlineLevel="0" collapsed="false">
      <c r="A25" s="0" t="n">
        <v>18</v>
      </c>
      <c r="B25" s="3" t="n">
        <v>0.416666666666667</v>
      </c>
      <c r="C25" s="3" t="n">
        <v>0.708333333333333</v>
      </c>
      <c r="D25" s="4" t="n">
        <f aca="false">IF(C25&lt;B25,C25+1,C25)-B25</f>
        <v>0.291666666666667</v>
      </c>
      <c r="E25" s="0" t="n">
        <f aca="false">D25*24</f>
        <v>7</v>
      </c>
      <c r="F25" s="0" t="n">
        <f aca="false">IF(E25&gt;$B$3,E25-$B$3,0)</f>
        <v>0</v>
      </c>
      <c r="G25" s="0" t="n">
        <f aca="false">IF(E25&lt;$B$3,$B$3-E25,0)</f>
        <v>0</v>
      </c>
      <c r="H25" s="0" t="n">
        <f aca="false">$B$5*(E25/$B$3)</f>
        <v>641.666666666667</v>
      </c>
    </row>
    <row r="26" customFormat="false" ht="15" hidden="false" customHeight="false" outlineLevel="0" collapsed="false">
      <c r="A26" s="0" t="n">
        <v>19</v>
      </c>
      <c r="B26" s="3" t="n">
        <v>0.416666666666667</v>
      </c>
      <c r="C26" s="3" t="n">
        <v>0.708333333333333</v>
      </c>
      <c r="D26" s="4" t="n">
        <f aca="false">IF(C26&lt;B26,C26+1,C26)-B26</f>
        <v>0.291666666666667</v>
      </c>
      <c r="E26" s="0" t="n">
        <f aca="false">D26*24</f>
        <v>7</v>
      </c>
      <c r="F26" s="0" t="n">
        <f aca="false">IF(E26&gt;$B$3,E26-$B$3,0)</f>
        <v>0</v>
      </c>
      <c r="G26" s="0" t="n">
        <f aca="false">IF(E26&lt;$B$3,$B$3-E26,0)</f>
        <v>0</v>
      </c>
      <c r="H26" s="0" t="n">
        <f aca="false">$B$5*(E26/$B$3)</f>
        <v>641.666666666667</v>
      </c>
    </row>
    <row r="27" customFormat="false" ht="15" hidden="false" customHeight="false" outlineLevel="0" collapsed="false">
      <c r="A27" s="0" t="n">
        <v>20</v>
      </c>
      <c r="B27" s="3" t="n">
        <v>0.416666666666667</v>
      </c>
      <c r="C27" s="3" t="n">
        <v>0.708333333333333</v>
      </c>
      <c r="D27" s="4" t="n">
        <f aca="false">IF(C27&lt;B27,C27+1,C27)-B27</f>
        <v>0.291666666666667</v>
      </c>
      <c r="E27" s="0" t="n">
        <f aca="false">D27*24</f>
        <v>7</v>
      </c>
      <c r="F27" s="0" t="n">
        <f aca="false">IF(E27&gt;$B$3,E27-$B$3,0)</f>
        <v>0</v>
      </c>
      <c r="G27" s="0" t="n">
        <f aca="false">IF(E27&lt;$B$3,$B$3-E27,0)</f>
        <v>0</v>
      </c>
      <c r="H27" s="0" t="n">
        <f aca="false">$B$5*(E27/$B$3)</f>
        <v>641.666666666667</v>
      </c>
    </row>
    <row r="28" customFormat="false" ht="15" hidden="false" customHeight="false" outlineLevel="0" collapsed="false">
      <c r="A28" s="2" t="s">
        <v>19</v>
      </c>
      <c r="B28" s="3" t="n">
        <v>0.416666666666667</v>
      </c>
      <c r="C28" s="3" t="n">
        <v>0.708333333333333</v>
      </c>
      <c r="D28" s="4" t="n">
        <f aca="false">IF(C28&lt;B28,C28+1,C28)-B28</f>
        <v>0.291666666666667</v>
      </c>
      <c r="E28" s="0" t="n">
        <f aca="false">D28*24</f>
        <v>7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641.666666666667</v>
      </c>
    </row>
    <row r="29" customFormat="false" ht="15" hidden="false" customHeight="false" outlineLevel="0" collapsed="false">
      <c r="A29" s="2" t="s">
        <v>20</v>
      </c>
      <c r="B29" s="3" t="n">
        <v>0.416666666666667</v>
      </c>
      <c r="C29" s="3" t="n">
        <v>0.708333333333333</v>
      </c>
      <c r="D29" s="4" t="n">
        <f aca="false">IF(C29&lt;B29,C29+1,C29)-B29</f>
        <v>0.291666666666667</v>
      </c>
      <c r="E29" s="0" t="n">
        <f aca="false">D29*24</f>
        <v>7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641.666666666667</v>
      </c>
    </row>
    <row r="30" customFormat="false" ht="15" hidden="false" customHeight="false" outlineLevel="0" collapsed="false">
      <c r="A30" s="0" t="n">
        <v>23</v>
      </c>
      <c r="B30" s="3" t="n">
        <v>0.428472222222222</v>
      </c>
      <c r="C30" s="3" t="n">
        <v>0.720833333333333</v>
      </c>
      <c r="D30" s="4" t="n">
        <f aca="false">IF(C30&lt;B30,C30+1,C30)-B30</f>
        <v>0.292361111111111</v>
      </c>
      <c r="E30" s="0" t="n">
        <f aca="false">D30*24</f>
        <v>7.01666666666667</v>
      </c>
      <c r="F30" s="0" t="n">
        <f aca="false">IF(E30&gt;$B$3,E30-$B$3,0)</f>
        <v>0.0166666666666675</v>
      </c>
      <c r="G30" s="0" t="n">
        <f aca="false">IF(E30&lt;$B$3,$B$3-E30,0)</f>
        <v>0</v>
      </c>
      <c r="H30" s="0" t="n">
        <f aca="false">$B$5*(E30/$B$3)</f>
        <v>643.194444444445</v>
      </c>
    </row>
    <row r="31" customFormat="false" ht="15" hidden="false" customHeight="false" outlineLevel="0" collapsed="false">
      <c r="A31" s="0" t="n">
        <v>24</v>
      </c>
      <c r="B31" s="3" t="n">
        <v>0.411111111111111</v>
      </c>
      <c r="C31" s="3" t="n">
        <v>0.74375</v>
      </c>
      <c r="D31" s="4" t="n">
        <f aca="false">IF(C31&lt;B31,C31+1,C31)-B31</f>
        <v>0.332638888888889</v>
      </c>
      <c r="E31" s="0" t="n">
        <f aca="false">D31*24</f>
        <v>7.98333333333333</v>
      </c>
      <c r="F31" s="0" t="n">
        <f aca="false">IF(E31&gt;$B$3,E31-$B$3,0)</f>
        <v>0.983333333333333</v>
      </c>
      <c r="G31" s="0" t="n">
        <f aca="false">IF(E31&lt;$B$3,$B$3-E31,0)</f>
        <v>0</v>
      </c>
      <c r="H31" s="0" t="n">
        <f aca="false">$B$5*(E31/$B$3)</f>
        <v>731.805555555555</v>
      </c>
    </row>
    <row r="32" customFormat="false" ht="15" hidden="false" customHeight="false" outlineLevel="0" collapsed="false">
      <c r="A32" s="2" t="n">
        <v>25</v>
      </c>
      <c r="B32" s="3" t="n">
        <v>0.420833333333333</v>
      </c>
      <c r="C32" s="3" t="n">
        <v>0.713888888888889</v>
      </c>
      <c r="D32" s="4" t="n">
        <f aca="false">IF(C32&lt;B32,C32+1,C32)-B32</f>
        <v>0.293055555555556</v>
      </c>
      <c r="E32" s="0" t="n">
        <f aca="false">D32*24</f>
        <v>7.03333333333333</v>
      </c>
      <c r="F32" s="0" t="n">
        <f aca="false">IF(E32&gt;$B$3,E32-$B$3,0)</f>
        <v>0.0333333333333332</v>
      </c>
      <c r="G32" s="0" t="n">
        <f aca="false">IF(E32&lt;$B$3,$B$3-E32,0)</f>
        <v>0</v>
      </c>
      <c r="H32" s="0" t="n">
        <f aca="false">$B$5*(E32/$B$3)</f>
        <v>644.722222222222</v>
      </c>
    </row>
    <row r="33" customFormat="false" ht="15" hidden="false" customHeight="false" outlineLevel="0" collapsed="false">
      <c r="A33" s="0" t="n">
        <v>26</v>
      </c>
      <c r="B33" s="3" t="n">
        <v>0.370833333333333</v>
      </c>
      <c r="C33" s="3" t="n">
        <v>0.711111111111111</v>
      </c>
      <c r="D33" s="4" t="n">
        <f aca="false">IF(C33&lt;B33,C33+1,C33)-B33</f>
        <v>0.340277777777778</v>
      </c>
      <c r="E33" s="0" t="n">
        <f aca="false">D33*24</f>
        <v>8.16666666666667</v>
      </c>
      <c r="F33" s="0" t="n">
        <f aca="false">IF(E33&gt;$B$3,E33-$B$3,0)</f>
        <v>1.16666666666667</v>
      </c>
      <c r="G33" s="0" t="n">
        <f aca="false">IF(E33&lt;$B$3,$B$3-E33,0)</f>
        <v>0</v>
      </c>
      <c r="H33" s="0" t="n">
        <f aca="false">$B$5*(E33/$B$3)</f>
        <v>748.611111111111</v>
      </c>
    </row>
    <row r="34" customFormat="false" ht="15" hidden="false" customHeight="false" outlineLevel="0" collapsed="false">
      <c r="A34" s="0" t="n">
        <v>27</v>
      </c>
      <c r="B34" s="3" t="n">
        <v>0.415972222222222</v>
      </c>
      <c r="C34" s="3" t="n">
        <v>0.710416666666667</v>
      </c>
      <c r="D34" s="4" t="n">
        <f aca="false">IF(C34&lt;B34,C34+1,C34)-B34</f>
        <v>0.294444444444444</v>
      </c>
      <c r="E34" s="0" t="n">
        <f aca="false">D34*24</f>
        <v>7.06666666666667</v>
      </c>
      <c r="F34" s="0" t="n">
        <f aca="false">IF(E34&gt;$B$3,E34-$B$3,0)</f>
        <v>0.0666666666666664</v>
      </c>
      <c r="G34" s="0" t="n">
        <f aca="false">IF(E34&lt;$B$3,$B$3-E34,0)</f>
        <v>0</v>
      </c>
      <c r="H34" s="0" t="n">
        <f aca="false">$B$5*(E34/$B$3)</f>
        <v>647.777777777778</v>
      </c>
    </row>
    <row r="35" customFormat="false" ht="15" hidden="false" customHeight="false" outlineLevel="0" collapsed="false">
      <c r="A35" s="0" t="n">
        <v>28</v>
      </c>
      <c r="B35" s="3" t="n">
        <v>0.367361111111111</v>
      </c>
      <c r="C35" s="3" t="n">
        <v>0.717361111111111</v>
      </c>
      <c r="D35" s="4" t="n">
        <f aca="false">IF(C35&lt;B35,C35+1,C35)-B35</f>
        <v>0.35</v>
      </c>
      <c r="E35" s="0" t="n">
        <f aca="false">D35*24</f>
        <v>8.4</v>
      </c>
      <c r="F35" s="0" t="n">
        <f aca="false">IF(E35&gt;$B$3,E35-$B$3,0)</f>
        <v>1.4</v>
      </c>
      <c r="G35" s="0" t="n">
        <f aca="false">IF(E35&lt;$B$3,$B$3-E35,0)</f>
        <v>0</v>
      </c>
      <c r="H35" s="0" t="n">
        <f aca="false">$B$5*(E35/$B$3)</f>
        <v>770</v>
      </c>
    </row>
    <row r="36" customFormat="false" ht="15" hidden="false" customHeight="false" outlineLevel="0" collapsed="false">
      <c r="A36" s="2" t="s">
        <v>21</v>
      </c>
      <c r="B36" s="3" t="n">
        <v>0.375</v>
      </c>
      <c r="C36" s="3" t="n">
        <v>0.666666666666667</v>
      </c>
      <c r="D36" s="4" t="n">
        <f aca="false">IF(C36&lt;B36,C36+1,C36)-B36</f>
        <v>0.291666666666667</v>
      </c>
      <c r="E36" s="0" t="n">
        <f aca="false">D36*24</f>
        <v>7</v>
      </c>
      <c r="F36" s="0" t="n">
        <f aca="false">IF(E36&gt;$B$3,E36-$B$3,0)</f>
        <v>0</v>
      </c>
      <c r="G36" s="0" t="n">
        <f aca="false">IF(E36&lt;$B$3,$B$3-E36,0)</f>
        <v>0</v>
      </c>
      <c r="H36" s="0" t="n">
        <f aca="false">$B$5*(E36/$B$3)</f>
        <v>641.666666666667</v>
      </c>
    </row>
    <row r="37" customFormat="false" ht="15" hidden="false" customHeight="false" outlineLevel="0" collapsed="false">
      <c r="A37" s="0" t="n">
        <v>30</v>
      </c>
      <c r="B37" s="3" t="n">
        <v>0.359027777777778</v>
      </c>
      <c r="C37" s="3" t="n">
        <v>0.716666666666667</v>
      </c>
      <c r="D37" s="4" t="n">
        <f aca="false">IF(C37&lt;B37,C37+1,C37)-B37</f>
        <v>0.357638888888889</v>
      </c>
      <c r="E37" s="0" t="n">
        <f aca="false">D37*24</f>
        <v>8.58333333333333</v>
      </c>
      <c r="F37" s="0" t="n">
        <f aca="false">IF(E37&gt;$B$3,E37-$B$3,0)</f>
        <v>1.58333333333333</v>
      </c>
      <c r="G37" s="0" t="n">
        <f aca="false">IF(E37&lt;$B$3,$B$3-E37,0)</f>
        <v>0</v>
      </c>
      <c r="H37" s="0" t="n">
        <f aca="false">$B$5*(E37/$B$3)</f>
        <v>786.805555555556</v>
      </c>
    </row>
    <row r="38" customFormat="false" ht="15" hidden="false" customHeight="false" outlineLevel="0" collapsed="false">
      <c r="A38" s="2" t="s">
        <v>22</v>
      </c>
      <c r="B38" s="3" t="n">
        <v>0.416666666666667</v>
      </c>
      <c r="C38" s="3" t="n">
        <v>0.720833333333333</v>
      </c>
      <c r="D38" s="4" t="n">
        <f aca="false">IF(C38&lt;B38,C38+1,C38)-B38</f>
        <v>0.304166666666667</v>
      </c>
      <c r="E38" s="0" t="n">
        <f aca="false">D38*24</f>
        <v>7.3</v>
      </c>
      <c r="F38" s="0" t="n">
        <f aca="false">IF(E38&gt;$B$3,E38-$B$3,0)</f>
        <v>0.299999999999999</v>
      </c>
      <c r="G38" s="0" t="n">
        <f aca="false">IF(E38&lt;$B$3,$B$3-E38,0)</f>
        <v>0</v>
      </c>
      <c r="H38" s="0" t="n">
        <f aca="false">$B$5*(E38/$B$3)</f>
        <v>669.166666666667</v>
      </c>
    </row>
    <row r="40" customFormat="false" ht="15" hidden="false" customHeight="false" outlineLevel="0" collapsed="false">
      <c r="A40" s="5" t="s">
        <v>23</v>
      </c>
      <c r="E40" s="0" t="n">
        <f aca="false">SUM(E8:E38)</f>
        <v>222.55</v>
      </c>
      <c r="F40" s="0" t="n">
        <f aca="false">SUM(F8:F38)</f>
        <v>5.55000000000003</v>
      </c>
      <c r="H40" s="0" t="n">
        <f aca="false">SUM(H8:H38)</f>
        <v>20400.4166666667</v>
      </c>
    </row>
    <row r="42" customFormat="false" ht="15" hidden="false" customHeight="false" outlineLevel="0" collapsed="false">
      <c r="A42" s="5" t="s">
        <v>24</v>
      </c>
      <c r="B42" s="5" t="n">
        <f aca="false">H40-200</f>
        <v>20200.4166666667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D32" activeCellId="0" sqref="D32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32.42"/>
    <col collapsed="false" customWidth="true" hidden="false" outlineLevel="0" max="2" min="2" style="0" width="19.42"/>
    <col collapsed="false" customWidth="true" hidden="false" outlineLevel="0" max="3" min="3" style="0" width="18.14"/>
    <col collapsed="false" customWidth="true" hidden="false" outlineLevel="0" max="4" min="4" style="0" width="18.58"/>
    <col collapsed="false" customWidth="true" hidden="false" outlineLevel="0" max="5" min="5" style="0" width="19.57"/>
    <col collapsed="false" customWidth="true" hidden="false" outlineLevel="0" max="6" min="6" style="0" width="14.28"/>
    <col collapsed="false" customWidth="true" hidden="false" outlineLevel="0" max="7" min="7" style="0" width="15.86"/>
    <col collapsed="false" customWidth="true" hidden="false" outlineLevel="0" max="8" min="8" style="0" width="17.42"/>
    <col collapsed="false" customWidth="true" hidden="false" outlineLevel="0" max="9" min="9" style="0" width="12.86"/>
  </cols>
  <sheetData>
    <row r="1" customFormat="false" ht="15" hidden="false" customHeight="false" outlineLevel="0" collapsed="false">
      <c r="A1" s="0" t="s">
        <v>0</v>
      </c>
      <c r="B1" s="0" t="s">
        <v>25</v>
      </c>
    </row>
    <row r="2" customFormat="false" ht="15" hidden="false" customHeight="false" outlineLevel="0" collapsed="false">
      <c r="A2" s="0" t="s">
        <v>2</v>
      </c>
      <c r="B2" s="0" t="n">
        <v>15400</v>
      </c>
    </row>
    <row r="3" customFormat="false" ht="15" hidden="false" customHeight="false" outlineLevel="0" collapsed="false">
      <c r="A3" s="0" t="s">
        <v>3</v>
      </c>
      <c r="B3" s="0" t="n">
        <v>8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513.333333333333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0.520833333333333</v>
      </c>
      <c r="C8" s="3" t="n">
        <v>0.854166666666667</v>
      </c>
      <c r="D8" s="4" t="n">
        <f aca="false">IF(C8&lt;B8,C8+1,C8)-B8</f>
        <v>0.333333333333333</v>
      </c>
      <c r="E8" s="0" t="n">
        <f aca="false">D8*24</f>
        <v>8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513.333333333333</v>
      </c>
      <c r="I8" s="0" t="n">
        <v>513.3333333</v>
      </c>
    </row>
    <row r="9" customFormat="false" ht="15" hidden="false" customHeight="false" outlineLevel="0" collapsed="false">
      <c r="A9" s="0" t="n">
        <v>2</v>
      </c>
      <c r="B9" s="3" t="n">
        <v>0.520833333333333</v>
      </c>
      <c r="C9" s="3" t="n">
        <v>0.854166666666667</v>
      </c>
      <c r="D9" s="4" t="n">
        <f aca="false">IF(C9&lt;B9,C9+1,C9)-B9</f>
        <v>0.333333333333333</v>
      </c>
      <c r="E9" s="0" t="n">
        <f aca="false">D9*24</f>
        <v>8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513.333333333333</v>
      </c>
      <c r="I9" s="0" t="n">
        <v>513.3333333</v>
      </c>
    </row>
    <row r="10" customFormat="false" ht="15" hidden="false" customHeight="false" outlineLevel="0" collapsed="false">
      <c r="A10" s="2" t="s">
        <v>15</v>
      </c>
      <c r="B10" s="3" t="n">
        <v>0.520833333333333</v>
      </c>
      <c r="C10" s="3" t="n">
        <v>0.854166666666667</v>
      </c>
      <c r="D10" s="4" t="n">
        <f aca="false">IF(C10&lt;B10,C10+1,C10)-B10</f>
        <v>0.333333333333333</v>
      </c>
      <c r="E10" s="0" t="n">
        <f aca="false">D10*24</f>
        <v>8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513.333333333333</v>
      </c>
      <c r="I10" s="0" t="n">
        <v>513.3333333</v>
      </c>
    </row>
    <row r="11" customFormat="false" ht="15" hidden="false" customHeight="false" outlineLevel="0" collapsed="false">
      <c r="A11" s="0" t="n">
        <v>4</v>
      </c>
      <c r="B11" s="3" t="n">
        <v>0.520833333333333</v>
      </c>
      <c r="C11" s="3" t="n">
        <v>0.854166666666667</v>
      </c>
      <c r="D11" s="4" t="n">
        <f aca="false">IF(C11&lt;B11,C11+1,C11)-B11</f>
        <v>0.333333333333333</v>
      </c>
      <c r="E11" s="0" t="n">
        <f aca="false">D11*24</f>
        <v>8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513.333333333333</v>
      </c>
      <c r="I11" s="0" t="n">
        <v>513.3333333</v>
      </c>
    </row>
    <row r="12" customFormat="false" ht="15" hidden="false" customHeight="false" outlineLevel="0" collapsed="false">
      <c r="A12" s="0" t="n">
        <v>5</v>
      </c>
      <c r="B12" s="3" t="n">
        <v>0.520833333333333</v>
      </c>
      <c r="C12" s="3" t="n">
        <v>0.854166666666667</v>
      </c>
      <c r="D12" s="4" t="n">
        <f aca="false">IF(C12&lt;B12,C12+1,C12)-B12</f>
        <v>0.333333333333333</v>
      </c>
      <c r="E12" s="0" t="n">
        <f aca="false">D12*24</f>
        <v>8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513.333333333333</v>
      </c>
      <c r="I12" s="0" t="n">
        <v>513.3333333</v>
      </c>
    </row>
    <row r="13" customFormat="false" ht="15" hidden="false" customHeight="false" outlineLevel="0" collapsed="false">
      <c r="A13" s="0" t="n">
        <v>6</v>
      </c>
      <c r="B13" s="3" t="n">
        <v>0.520833333333333</v>
      </c>
      <c r="C13" s="3" t="n">
        <v>0.854166666666667</v>
      </c>
      <c r="D13" s="4" t="n">
        <f aca="false">IF(C13&lt;B13,C13+1,C13)-B13</f>
        <v>0.333333333333333</v>
      </c>
      <c r="E13" s="0" t="n">
        <f aca="false">D13*24</f>
        <v>8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513.333333333333</v>
      </c>
      <c r="I13" s="0" t="n">
        <v>513.3333333</v>
      </c>
    </row>
    <row r="14" customFormat="false" ht="15" hidden="false" customHeight="false" outlineLevel="0" collapsed="false">
      <c r="A14" s="0" t="n">
        <v>7</v>
      </c>
      <c r="B14" s="3" t="n">
        <v>0.520833333333333</v>
      </c>
      <c r="C14" s="3" t="n">
        <v>0.854166666666667</v>
      </c>
      <c r="D14" s="4" t="n">
        <f aca="false">IF(C14&lt;B14,C14+1,C14)-B14</f>
        <v>0.333333333333333</v>
      </c>
      <c r="E14" s="0" t="n">
        <f aca="false">D14*24</f>
        <v>8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513.333333333333</v>
      </c>
      <c r="I14" s="0" t="n">
        <v>513.3333333</v>
      </c>
    </row>
    <row r="15" customFormat="false" ht="15" hidden="false" customHeight="false" outlineLevel="0" collapsed="false">
      <c r="A15" s="2" t="s">
        <v>17</v>
      </c>
      <c r="B15" s="3" t="n">
        <v>0.520833333333333</v>
      </c>
      <c r="C15" s="3" t="n">
        <v>0.854166666666667</v>
      </c>
      <c r="D15" s="4" t="n">
        <f aca="false">IF(C15&lt;B15,C15+1,C15)-B15</f>
        <v>0.333333333333333</v>
      </c>
      <c r="E15" s="0" t="n">
        <f aca="false">D15*24</f>
        <v>8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513.333333333333</v>
      </c>
      <c r="I15" s="0" t="n">
        <v>513.3333333</v>
      </c>
    </row>
    <row r="16" customFormat="false" ht="15" hidden="false" customHeight="false" outlineLevel="0" collapsed="false">
      <c r="A16" s="2" t="s">
        <v>26</v>
      </c>
      <c r="B16" s="3" t="n">
        <v>0.520833333333333</v>
      </c>
      <c r="C16" s="3" t="n">
        <v>0.854166666666667</v>
      </c>
      <c r="D16" s="4" t="n">
        <f aca="false">IF(C16&lt;B16,C16+1,C16)-B16</f>
        <v>0.333333333333333</v>
      </c>
      <c r="E16" s="0" t="n">
        <f aca="false">D16*24</f>
        <v>8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513.333333333333</v>
      </c>
      <c r="I16" s="0" t="n">
        <v>513.3333333</v>
      </c>
    </row>
    <row r="17" customFormat="false" ht="15" hidden="false" customHeight="false" outlineLevel="0" collapsed="false">
      <c r="A17" s="0" t="n">
        <v>10</v>
      </c>
      <c r="B17" s="3" t="n">
        <v>0.447222222222222</v>
      </c>
      <c r="C17" s="3" t="n">
        <v>0.772222222222222</v>
      </c>
      <c r="D17" s="4" t="n">
        <f aca="false">IF(C17&lt;B17,C17+1,C17)-B17</f>
        <v>0.325</v>
      </c>
      <c r="E17" s="0" t="n">
        <f aca="false">D17*24</f>
        <v>7.8</v>
      </c>
      <c r="F17" s="0" t="n">
        <f aca="false">IF(E17&gt;$B$3,E17-$B$3,0)</f>
        <v>0</v>
      </c>
      <c r="G17" s="0" t="n">
        <f aca="false">IF(E17&lt;$B$3,$B$3-E17,0)</f>
        <v>0.199999999999999</v>
      </c>
      <c r="H17" s="0" t="n">
        <f aca="false">$B$5*(E17/$B$3)</f>
        <v>500.5</v>
      </c>
      <c r="I17" s="0" t="n">
        <v>500.5</v>
      </c>
    </row>
    <row r="18" customFormat="false" ht="15" hidden="false" customHeight="false" outlineLevel="0" collapsed="false">
      <c r="A18" s="0" t="n">
        <v>11</v>
      </c>
      <c r="B18" s="3" t="n">
        <v>0.461111111111111</v>
      </c>
      <c r="C18" s="3" t="n">
        <v>0.869444444444444</v>
      </c>
      <c r="D18" s="4" t="n">
        <f aca="false">IF(C18&lt;B18,C18+1,C18)-B18</f>
        <v>0.408333333333333</v>
      </c>
      <c r="E18" s="0" t="n">
        <f aca="false">D18*24</f>
        <v>9.8</v>
      </c>
      <c r="F18" s="0" t="n">
        <f aca="false">IF(E18&gt;$B$3,E18-$B$3,0)</f>
        <v>1.8</v>
      </c>
      <c r="G18" s="0" t="n">
        <f aca="false">IF(E18&lt;$B$3,$B$3-E18,0)</f>
        <v>0</v>
      </c>
      <c r="H18" s="0" t="n">
        <f aca="false">$B$5*(E18/$B$3)</f>
        <v>628.833333333333</v>
      </c>
      <c r="I18" s="0" t="n">
        <v>628.8333333</v>
      </c>
    </row>
    <row r="19" customFormat="false" ht="15" hidden="false" customHeight="false" outlineLevel="0" collapsed="false">
      <c r="A19" s="0" t="n">
        <v>12</v>
      </c>
      <c r="B19" s="3" t="n">
        <v>0.495138888888889</v>
      </c>
      <c r="C19" s="3" t="n">
        <v>0.870138888888889</v>
      </c>
      <c r="D19" s="4" t="n">
        <f aca="false">IF(C19&lt;B19,C19+1,C19)-B19</f>
        <v>0.375</v>
      </c>
      <c r="E19" s="0" t="n">
        <f aca="false">D19*24</f>
        <v>9</v>
      </c>
      <c r="F19" s="0" t="n">
        <f aca="false">IF(E19&gt;$B$3,E19-$B$3,0)</f>
        <v>1</v>
      </c>
      <c r="G19" s="0" t="n">
        <f aca="false">IF(E19&lt;$B$3,$B$3-E19,0)</f>
        <v>0</v>
      </c>
      <c r="H19" s="0" t="n">
        <f aca="false">$B$5*(E19/$B$3)</f>
        <v>577.5</v>
      </c>
      <c r="I19" s="0" t="n">
        <v>577.5</v>
      </c>
    </row>
    <row r="20" customFormat="false" ht="15" hidden="false" customHeight="false" outlineLevel="0" collapsed="false">
      <c r="A20" s="0" t="n">
        <v>13</v>
      </c>
      <c r="B20" s="3" t="n">
        <v>0.561805555555556</v>
      </c>
      <c r="C20" s="3" t="n">
        <v>0.860416666666667</v>
      </c>
      <c r="D20" s="4" t="n">
        <f aca="false">IF(C20&lt;B20,C20+1,C20)-B20</f>
        <v>0.298611111111111</v>
      </c>
      <c r="E20" s="0" t="n">
        <f aca="false">D20*24</f>
        <v>7.16666666666667</v>
      </c>
      <c r="F20" s="0" t="n">
        <f aca="false">IF(E20&gt;$B$3,E20-$B$3,0)</f>
        <v>0</v>
      </c>
      <c r="G20" s="0" t="n">
        <f aca="false">IF(E20&lt;$B$3,$B$3-E20,0)</f>
        <v>0.833333333333334</v>
      </c>
      <c r="H20" s="0" t="n">
        <f aca="false">$B$5*(E20/$B$3)</f>
        <v>459.861111111111</v>
      </c>
      <c r="I20" s="0" t="n">
        <v>459.8611111</v>
      </c>
    </row>
    <row r="21" customFormat="false" ht="15" hidden="false" customHeight="false" outlineLevel="0" collapsed="false">
      <c r="A21" s="0" t="n">
        <v>14</v>
      </c>
      <c r="B21" s="3" t="n">
        <v>0.470138888888889</v>
      </c>
      <c r="C21" s="3" t="n">
        <v>0.89375</v>
      </c>
      <c r="D21" s="4" t="n">
        <f aca="false">IF(C21&lt;B21,C21+1,C21)-B21</f>
        <v>0.423611111111111</v>
      </c>
      <c r="E21" s="0" t="n">
        <f aca="false">D21*24</f>
        <v>10.1666666666667</v>
      </c>
      <c r="F21" s="0" t="n">
        <f aca="false">IF(E21&gt;$B$3,E21-$B$3,0)</f>
        <v>2.16666666666667</v>
      </c>
      <c r="G21" s="0" t="n">
        <f aca="false">IF(E21&lt;$B$3,$B$3-E21,0)</f>
        <v>0</v>
      </c>
      <c r="H21" s="0" t="n">
        <f aca="false">$B$5*(E21/$B$3)</f>
        <v>652.361111111111</v>
      </c>
      <c r="I21" s="0" t="n">
        <v>652.3611111</v>
      </c>
    </row>
    <row r="22" customFormat="false" ht="15" hidden="false" customHeight="false" outlineLevel="0" collapsed="false">
      <c r="A22" s="2" t="s">
        <v>18</v>
      </c>
      <c r="B22" s="3" t="n">
        <v>0.520833333333333</v>
      </c>
      <c r="C22" s="3" t="n">
        <v>0.854166666666667</v>
      </c>
      <c r="D22" s="4" t="n">
        <f aca="false">IF(C22&lt;B22,C22+1,C22)-B22</f>
        <v>0.333333333333333</v>
      </c>
      <c r="E22" s="0" t="n">
        <f aca="false">D22*24</f>
        <v>8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513.333333333333</v>
      </c>
      <c r="I22" s="0" t="n">
        <v>513.3333333</v>
      </c>
    </row>
    <row r="23" customFormat="false" ht="15" hidden="false" customHeight="false" outlineLevel="0" collapsed="false">
      <c r="A23" s="0" t="n">
        <v>16</v>
      </c>
      <c r="B23" s="3" t="n">
        <v>0.4875</v>
      </c>
      <c r="C23" s="3" t="n">
        <v>0.864583333333333</v>
      </c>
      <c r="D23" s="4" t="n">
        <f aca="false">IF(C23&lt;B23,C23+1,C23)-B23</f>
        <v>0.377083333333333</v>
      </c>
      <c r="E23" s="0" t="n">
        <f aca="false">D23*24</f>
        <v>9.05</v>
      </c>
      <c r="F23" s="0" t="n">
        <f aca="false">IF(E23&gt;$B$3,E23-$B$3,0)</f>
        <v>1.05</v>
      </c>
      <c r="G23" s="0" t="n">
        <f aca="false">IF(E23&lt;$B$3,$B$3-E23,0)</f>
        <v>0</v>
      </c>
      <c r="H23" s="0" t="n">
        <f aca="false">$B$5*(E23/$B$3)</f>
        <v>580.708333333333</v>
      </c>
      <c r="I23" s="0" t="n">
        <v>580.7083333</v>
      </c>
    </row>
    <row r="24" customFormat="false" ht="15" hidden="false" customHeight="false" outlineLevel="0" collapsed="false">
      <c r="A24" s="0" t="n">
        <v>17</v>
      </c>
      <c r="B24" s="3" t="n">
        <v>0.482638888888889</v>
      </c>
      <c r="C24" s="3" t="n">
        <v>0.863888888888889</v>
      </c>
      <c r="D24" s="4" t="n">
        <f aca="false">IF(C24&lt;B24,C24+1,C24)-B24</f>
        <v>0.38125</v>
      </c>
      <c r="E24" s="0" t="n">
        <f aca="false">D24*24</f>
        <v>9.15</v>
      </c>
      <c r="F24" s="0" t="n">
        <f aca="false">IF(E24&gt;$B$3,E24-$B$3,0)</f>
        <v>1.15</v>
      </c>
      <c r="G24" s="0" t="n">
        <f aca="false">IF(E24&lt;$B$3,$B$3-E24,0)</f>
        <v>0</v>
      </c>
      <c r="H24" s="0" t="n">
        <f aca="false">$B$5*(E24/$B$3)</f>
        <v>587.125</v>
      </c>
      <c r="I24" s="0" t="n">
        <v>587.125</v>
      </c>
    </row>
    <row r="25" customFormat="false" ht="15" hidden="false" customHeight="false" outlineLevel="0" collapsed="false">
      <c r="A25" s="0" t="n">
        <v>18</v>
      </c>
      <c r="B25" s="3" t="n">
        <v>0.483333333333333</v>
      </c>
      <c r="C25" s="3" t="n">
        <v>0.845138888888889</v>
      </c>
      <c r="D25" s="4" t="n">
        <f aca="false">IF(C25&lt;B25,C25+1,C25)-B25</f>
        <v>0.361805555555556</v>
      </c>
      <c r="E25" s="0" t="n">
        <f aca="false">D25*24</f>
        <v>8.68333333333333</v>
      </c>
      <c r="F25" s="0" t="n">
        <f aca="false">IF(E25&gt;$B$3,E25-$B$3,0)</f>
        <v>0.683333333333334</v>
      </c>
      <c r="G25" s="0" t="n">
        <f aca="false">IF(E25&lt;$B$3,$B$3-E25,0)</f>
        <v>0</v>
      </c>
      <c r="H25" s="0" t="n">
        <f aca="false">$B$5*(E25/$B$3)</f>
        <v>557.180555555556</v>
      </c>
      <c r="I25" s="0" t="n">
        <v>557.1805556</v>
      </c>
    </row>
    <row r="26" customFormat="false" ht="15" hidden="false" customHeight="false" outlineLevel="0" collapsed="false">
      <c r="A26" s="2" t="s">
        <v>27</v>
      </c>
      <c r="B26" s="3"/>
      <c r="C26" s="3"/>
      <c r="D26" s="4" t="n">
        <f aca="false">IF(C26&lt;B26,C26+1,C26)-B26</f>
        <v>0</v>
      </c>
      <c r="E26" s="0" t="n">
        <f aca="false">D26*24</f>
        <v>0</v>
      </c>
      <c r="F26" s="0" t="n">
        <f aca="false">IF(E26&gt;$B$3,E26-$B$3,0)</f>
        <v>0</v>
      </c>
      <c r="G26" s="0" t="n">
        <f aca="false">IF(E26&lt;$B$3,$B$3-E26,0)</f>
        <v>8</v>
      </c>
      <c r="H26" s="0" t="n">
        <f aca="false">$B$5*(E26/$B$3)</f>
        <v>0</v>
      </c>
    </row>
    <row r="27" customFormat="false" ht="15" hidden="false" customHeight="false" outlineLevel="0" collapsed="false">
      <c r="A27" s="0" t="n">
        <v>20</v>
      </c>
      <c r="B27" s="3" t="n">
        <v>0.475694444444444</v>
      </c>
      <c r="C27" s="3" t="n">
        <v>0.858333333333333</v>
      </c>
      <c r="D27" s="4" t="n">
        <f aca="false">IF(C27&lt;B27,C27+1,C27)-B27</f>
        <v>0.382638888888889</v>
      </c>
      <c r="E27" s="0" t="n">
        <f aca="false">D27*24</f>
        <v>9.18333333333333</v>
      </c>
      <c r="F27" s="0" t="n">
        <f aca="false">IF(E27&gt;$B$3,E27-$B$3,0)</f>
        <v>1.18333333333333</v>
      </c>
      <c r="G27" s="0" t="n">
        <f aca="false">IF(E27&lt;$B$3,$B$3-E27,0)</f>
        <v>0</v>
      </c>
      <c r="H27" s="0" t="n">
        <f aca="false">$B$5*(E27/$B$3)</f>
        <v>589.263888888889</v>
      </c>
      <c r="I27" s="0" t="n">
        <v>589.2638889</v>
      </c>
    </row>
    <row r="28" customFormat="false" ht="15" hidden="false" customHeight="false" outlineLevel="0" collapsed="false">
      <c r="A28" s="2" t="s">
        <v>19</v>
      </c>
      <c r="B28" s="3" t="n">
        <v>0.520833333333333</v>
      </c>
      <c r="C28" s="3" t="n">
        <v>0.854166666666667</v>
      </c>
      <c r="D28" s="4" t="n">
        <f aca="false">IF(C28&lt;B28,C28+1,C28)-B28</f>
        <v>0.333333333333333</v>
      </c>
      <c r="E28" s="0" t="n">
        <f aca="false">D28*24</f>
        <v>8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513.333333333333</v>
      </c>
      <c r="I28" s="0" t="n">
        <v>513.3333333</v>
      </c>
    </row>
    <row r="29" customFormat="false" ht="15" hidden="false" customHeight="false" outlineLevel="0" collapsed="false">
      <c r="A29" s="2" t="s">
        <v>20</v>
      </c>
      <c r="B29" s="3" t="n">
        <v>0.520833333333333</v>
      </c>
      <c r="C29" s="3" t="n">
        <v>0.854166666666667</v>
      </c>
      <c r="D29" s="4" t="n">
        <f aca="false">IF(C29&lt;B29,C29+1,C29)-B29</f>
        <v>0.333333333333333</v>
      </c>
      <c r="E29" s="0" t="n">
        <f aca="false">D29*24</f>
        <v>8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513.333333333333</v>
      </c>
      <c r="I29" s="0" t="n">
        <v>513.3333333</v>
      </c>
    </row>
    <row r="30" customFormat="false" ht="15" hidden="false" customHeight="false" outlineLevel="0" collapsed="false">
      <c r="A30" s="0" t="n">
        <v>23</v>
      </c>
      <c r="B30" s="3" t="n">
        <v>0.391666666666667</v>
      </c>
      <c r="C30" s="3" t="n">
        <v>0.690277777777778</v>
      </c>
      <c r="D30" s="4" t="n">
        <f aca="false">IF(C30&lt;B30,C30+1,C30)-B30</f>
        <v>0.298611111111111</v>
      </c>
      <c r="E30" s="0" t="n">
        <f aca="false">D30*24</f>
        <v>7.16666666666667</v>
      </c>
      <c r="F30" s="0" t="n">
        <f aca="false">IF(E30&gt;$B$3,E30-$B$3,0)</f>
        <v>0</v>
      </c>
      <c r="G30" s="0" t="n">
        <f aca="false">IF(E30&lt;$B$3,$B$3-E30,0)</f>
        <v>0.833333333333334</v>
      </c>
      <c r="H30" s="0" t="n">
        <f aca="false">$B$5*(E30/$B$3)</f>
        <v>459.861111111111</v>
      </c>
      <c r="I30" s="0" t="n">
        <v>459.8611111</v>
      </c>
    </row>
    <row r="31" customFormat="false" ht="15" hidden="false" customHeight="false" outlineLevel="0" collapsed="false">
      <c r="A31" s="0" t="n">
        <v>24</v>
      </c>
      <c r="B31" s="3" t="n">
        <v>0.34375</v>
      </c>
      <c r="C31" s="3" t="n">
        <v>0.856944444444444</v>
      </c>
      <c r="D31" s="4" t="n">
        <f aca="false">IF(C31&lt;B31,C31+1,C31)-B31</f>
        <v>0.513194444444444</v>
      </c>
      <c r="E31" s="0" t="n">
        <f aca="false">D31*24</f>
        <v>12.3166666666667</v>
      </c>
      <c r="F31" s="0" t="n">
        <f aca="false">IF(E31&gt;$B$3,E31-$B$3,0)</f>
        <v>4.31666666666667</v>
      </c>
      <c r="G31" s="0" t="n">
        <f aca="false">IF(E31&lt;$B$3,$B$3-E31,0)</f>
        <v>0</v>
      </c>
      <c r="H31" s="0" t="n">
        <f aca="false">$B$5*(E31/$B$3)</f>
        <v>790.319444444445</v>
      </c>
      <c r="I31" s="0" t="n">
        <v>790.3194444</v>
      </c>
    </row>
    <row r="32" customFormat="false" ht="15" hidden="false" customHeight="false" outlineLevel="0" collapsed="false">
      <c r="A32" s="2" t="n">
        <v>25</v>
      </c>
      <c r="B32" s="3" t="n">
        <v>0.354166666666667</v>
      </c>
      <c r="C32" s="3" t="n">
        <v>0.701388888888889</v>
      </c>
      <c r="D32" s="4" t="n">
        <f aca="false">IF(C32&lt;B32,C32+1,C32)-B32</f>
        <v>0.347222222222222</v>
      </c>
      <c r="E32" s="0" t="n">
        <f aca="false">D32*24</f>
        <v>8.33333333333333</v>
      </c>
      <c r="F32" s="0" t="n">
        <f aca="false">IF(E32&gt;$B$3,E32-$B$3,0)</f>
        <v>0.333333333333332</v>
      </c>
      <c r="G32" s="0" t="n">
        <f aca="false">IF(E32&lt;$B$3,$B$3-E32,0)</f>
        <v>0</v>
      </c>
      <c r="H32" s="0" t="n">
        <f aca="false">$B$5*(E32/$B$3)</f>
        <v>534.722222222222</v>
      </c>
      <c r="I32" s="0" t="n">
        <v>534.7222222</v>
      </c>
    </row>
    <row r="33" customFormat="false" ht="15" hidden="false" customHeight="false" outlineLevel="0" collapsed="false">
      <c r="A33" s="0" t="n">
        <v>26</v>
      </c>
      <c r="B33" s="3" t="n">
        <v>0.375694444444444</v>
      </c>
      <c r="C33" s="3" t="n">
        <v>0.775694444444444</v>
      </c>
      <c r="D33" s="4" t="n">
        <f aca="false">IF(C33&lt;B33,C33+1,C33)-B33</f>
        <v>0.4</v>
      </c>
      <c r="E33" s="0" t="n">
        <f aca="false">D33*24</f>
        <v>9.6</v>
      </c>
      <c r="F33" s="0" t="n">
        <f aca="false">IF(E33&gt;$B$3,E33-$B$3,0)</f>
        <v>1.6</v>
      </c>
      <c r="G33" s="0" t="n">
        <f aca="false">IF(E33&lt;$B$3,$B$3-E33,0)</f>
        <v>0</v>
      </c>
      <c r="H33" s="0" t="n">
        <f aca="false">$B$5*(E33/$B$3)</f>
        <v>616</v>
      </c>
      <c r="I33" s="0" t="n">
        <v>616</v>
      </c>
    </row>
    <row r="34" customFormat="false" ht="15" hidden="false" customHeight="false" outlineLevel="0" collapsed="false">
      <c r="A34" s="2" t="s">
        <v>28</v>
      </c>
      <c r="B34" s="3"/>
      <c r="C34" s="3"/>
      <c r="D34" s="4" t="n">
        <f aca="false">IF(C34&lt;B34,C34+1,C34)-B34</f>
        <v>0</v>
      </c>
      <c r="E34" s="0" t="n">
        <f aca="false">D34*24</f>
        <v>0</v>
      </c>
      <c r="F34" s="0" t="n">
        <f aca="false">IF(E34&gt;$B$3,E34-$B$3,0)</f>
        <v>0</v>
      </c>
      <c r="G34" s="0" t="n">
        <f aca="false">IF(E34&lt;$B$3,$B$3-E34,0)</f>
        <v>8</v>
      </c>
      <c r="H34" s="0" t="n">
        <f aca="false">$B$5*(E34/$B$3)</f>
        <v>0</v>
      </c>
    </row>
    <row r="35" customFormat="false" ht="15" hidden="false" customHeight="false" outlineLevel="0" collapsed="false">
      <c r="A35" s="0" t="n">
        <v>28</v>
      </c>
      <c r="B35" s="3" t="n">
        <v>0.39375</v>
      </c>
      <c r="C35" s="3" t="n">
        <v>0.774305555555556</v>
      </c>
      <c r="D35" s="4" t="n">
        <f aca="false">IF(C35&lt;B35,C35+1,C35)-B35</f>
        <v>0.380555555555556</v>
      </c>
      <c r="E35" s="0" t="n">
        <f aca="false">D35*24</f>
        <v>9.13333333333333</v>
      </c>
      <c r="F35" s="0" t="n">
        <f aca="false">IF(E35&gt;$B$3,E35-$B$3,0)</f>
        <v>1.13333333333333</v>
      </c>
      <c r="G35" s="0" t="n">
        <f aca="false">IF(E35&lt;$B$3,$B$3-E35,0)</f>
        <v>0</v>
      </c>
      <c r="H35" s="0" t="n">
        <f aca="false">$B$5*(E35/$B$3)</f>
        <v>586.055555555556</v>
      </c>
      <c r="I35" s="0" t="n">
        <v>586.0555556</v>
      </c>
    </row>
    <row r="36" customFormat="false" ht="15" hidden="false" customHeight="false" outlineLevel="0" collapsed="false">
      <c r="A36" s="2" t="s">
        <v>21</v>
      </c>
      <c r="B36" s="3" t="n">
        <v>0.375</v>
      </c>
      <c r="C36" s="3" t="n">
        <v>0.68125</v>
      </c>
      <c r="D36" s="4" t="n">
        <f aca="false">IF(C36&lt;B36,C36+1,C36)-B36</f>
        <v>0.30625</v>
      </c>
      <c r="E36" s="0" t="n">
        <f aca="false">D36*24</f>
        <v>7.35</v>
      </c>
      <c r="F36" s="0" t="n">
        <f aca="false">IF(E36&gt;$B$3,E36-$B$3,0)</f>
        <v>0</v>
      </c>
      <c r="G36" s="0" t="n">
        <f aca="false">IF(E36&lt;$B$3,$B$3-E36,0)</f>
        <v>0.65</v>
      </c>
      <c r="H36" s="0" t="n">
        <f aca="false">$B$5*(E36/$B$3)</f>
        <v>471.625</v>
      </c>
      <c r="I36" s="0" t="n">
        <v>471.625</v>
      </c>
    </row>
    <row r="37" customFormat="false" ht="15" hidden="false" customHeight="false" outlineLevel="0" collapsed="false">
      <c r="A37" s="0" t="n">
        <v>30</v>
      </c>
      <c r="B37" s="3" t="n">
        <v>0.340972222222222</v>
      </c>
      <c r="C37" s="3" t="n">
        <v>0.782638888888889</v>
      </c>
      <c r="D37" s="4" t="n">
        <f aca="false">IF(C37&lt;B37,C37+1,C37)-B37</f>
        <v>0.441666666666667</v>
      </c>
      <c r="E37" s="0" t="n">
        <f aca="false">D37*24</f>
        <v>10.6</v>
      </c>
      <c r="F37" s="0" t="n">
        <f aca="false">IF(E37&gt;$B$3,E37-$B$3,0)</f>
        <v>2.6</v>
      </c>
      <c r="G37" s="0" t="n">
        <f aca="false">IF(E37&lt;$B$3,$B$3-E37,0)</f>
        <v>0</v>
      </c>
      <c r="H37" s="0" t="n">
        <f aca="false">$B$5*(E37/$B$3)</f>
        <v>680.166666666667</v>
      </c>
      <c r="I37" s="0" t="n">
        <v>680.1666667</v>
      </c>
    </row>
    <row r="38" customFormat="false" ht="15" hidden="false" customHeight="false" outlineLevel="0" collapsed="false">
      <c r="A38" s="0" t="n">
        <v>31</v>
      </c>
      <c r="B38" s="3"/>
      <c r="C38" s="3"/>
      <c r="D38" s="3"/>
      <c r="E38" s="0" t="n">
        <f aca="false">D38*24</f>
        <v>0</v>
      </c>
      <c r="F38" s="0" t="n">
        <f aca="false">IF(E38&gt;$B$3,E38-$B$3,0)</f>
        <v>0</v>
      </c>
      <c r="G38" s="0" t="n">
        <f aca="false">IF(E38&lt;$B$3,$B$3-E38,0)</f>
        <v>8</v>
      </c>
      <c r="H38" s="0" t="n">
        <f aca="false">$B$5*(E38/$B$3)</f>
        <v>0</v>
      </c>
    </row>
    <row r="40" customFormat="false" ht="15" hidden="false" customHeight="false" outlineLevel="0" collapsed="false">
      <c r="A40" s="6" t="s">
        <v>23</v>
      </c>
      <c r="E40" s="0" t="n">
        <f aca="false">SUM(E8:E38)</f>
        <v>240.5</v>
      </c>
      <c r="F40" s="0" t="n">
        <f aca="false">SUM(F8:F38)</f>
        <v>19.0166666666667</v>
      </c>
      <c r="H40" s="0" t="n">
        <f aca="false">SUM(H8:H38)</f>
        <v>15432.0833333333</v>
      </c>
    </row>
    <row r="41" customFormat="false" ht="15" hidden="false" customHeight="false" outlineLevel="0" collapsed="false">
      <c r="A41" s="6" t="s">
        <v>29</v>
      </c>
      <c r="B41" s="2" t="s">
        <v>30</v>
      </c>
      <c r="C41" s="0" t="n">
        <v>600</v>
      </c>
    </row>
    <row r="42" customFormat="false" ht="15" hidden="false" customHeight="false" outlineLevel="0" collapsed="false">
      <c r="A42" s="6" t="s">
        <v>31</v>
      </c>
      <c r="B42" s="5" t="n">
        <f aca="false">(H40+C41)-200</f>
        <v>15832.0833333333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C42" activeCellId="0" sqref="C42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4.15"/>
    <col collapsed="false" customWidth="true" hidden="false" outlineLevel="0" max="2" min="2" style="0" width="25"/>
    <col collapsed="false" customWidth="true" hidden="false" outlineLevel="0" max="3" min="3" style="0" width="15.15"/>
    <col collapsed="false" customWidth="true" hidden="false" outlineLevel="0" max="4" min="4" style="0" width="17.42"/>
    <col collapsed="false" customWidth="true" hidden="false" outlineLevel="0" max="5" min="5" style="0" width="17.71"/>
    <col collapsed="false" customWidth="true" hidden="false" outlineLevel="0" max="6" min="6" style="0" width="14.28"/>
    <col collapsed="false" customWidth="true" hidden="false" outlineLevel="0" max="7" min="7" style="0" width="11.57"/>
    <col collapsed="false" customWidth="true" hidden="false" outlineLevel="0" max="8" min="8" style="0" width="13.86"/>
  </cols>
  <sheetData>
    <row r="1" customFormat="false" ht="15" hidden="false" customHeight="false" outlineLevel="0" collapsed="false">
      <c r="A1" s="0" t="s">
        <v>0</v>
      </c>
      <c r="B1" s="0" t="s">
        <v>32</v>
      </c>
    </row>
    <row r="2" customFormat="false" ht="15" hidden="false" customHeight="false" outlineLevel="0" collapsed="false">
      <c r="A2" s="0" t="s">
        <v>2</v>
      </c>
      <c r="B2" s="0" t="n">
        <v>13200</v>
      </c>
    </row>
    <row r="3" customFormat="false" ht="15" hidden="false" customHeight="false" outlineLevel="0" collapsed="false">
      <c r="A3" s="0" t="s">
        <v>3</v>
      </c>
      <c r="B3" s="0" t="n">
        <v>8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440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0.375</v>
      </c>
      <c r="C8" s="3" t="n">
        <v>0.708333333333333</v>
      </c>
      <c r="D8" s="4" t="n">
        <f aca="false">IF(C8&lt;B8,C8+1,C8)-B8</f>
        <v>0.333333333333333</v>
      </c>
      <c r="E8" s="0" t="n">
        <f aca="false">D8*24</f>
        <v>8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440</v>
      </c>
    </row>
    <row r="9" customFormat="false" ht="15" hidden="false" customHeight="false" outlineLevel="0" collapsed="false">
      <c r="A9" s="0" t="n">
        <v>2</v>
      </c>
      <c r="B9" s="3" t="n">
        <v>0.375</v>
      </c>
      <c r="C9" s="3" t="n">
        <v>0.708333333333333</v>
      </c>
      <c r="D9" s="4" t="n">
        <f aca="false">IF(C9&lt;B9,C9+1,C9)-B9</f>
        <v>0.333333333333333</v>
      </c>
      <c r="E9" s="0" t="n">
        <f aca="false">D9*24</f>
        <v>8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440</v>
      </c>
    </row>
    <row r="10" customFormat="false" ht="15" hidden="false" customHeight="false" outlineLevel="0" collapsed="false">
      <c r="A10" s="2" t="s">
        <v>15</v>
      </c>
      <c r="B10" s="3" t="n">
        <v>0.375</v>
      </c>
      <c r="C10" s="3" t="n">
        <v>0.708333333333333</v>
      </c>
      <c r="D10" s="4" t="n">
        <f aca="false">IF(C10&lt;B10,C10+1,C10)-B10</f>
        <v>0.333333333333333</v>
      </c>
      <c r="E10" s="0" t="n">
        <f aca="false">D10*24</f>
        <v>8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440</v>
      </c>
    </row>
    <row r="11" customFormat="false" ht="15" hidden="false" customHeight="false" outlineLevel="0" collapsed="false">
      <c r="A11" s="0" t="n">
        <v>4</v>
      </c>
      <c r="B11" s="3" t="n">
        <v>0.375</v>
      </c>
      <c r="C11" s="3" t="n">
        <v>0.708333333333333</v>
      </c>
      <c r="D11" s="4" t="n">
        <f aca="false">IF(C11&lt;B11,C11+1,C11)-B11</f>
        <v>0.333333333333333</v>
      </c>
      <c r="E11" s="0" t="n">
        <f aca="false">D11*24</f>
        <v>8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440</v>
      </c>
    </row>
    <row r="12" customFormat="false" ht="15" hidden="false" customHeight="false" outlineLevel="0" collapsed="false">
      <c r="A12" s="0" t="n">
        <v>5</v>
      </c>
      <c r="B12" s="3" t="n">
        <v>0.375</v>
      </c>
      <c r="C12" s="3" t="n">
        <v>0.708333333333333</v>
      </c>
      <c r="D12" s="4" t="n">
        <f aca="false">IF(C12&lt;B12,C12+1,C12)-B12</f>
        <v>0.333333333333333</v>
      </c>
      <c r="E12" s="0" t="n">
        <f aca="false">D12*24</f>
        <v>8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440</v>
      </c>
    </row>
    <row r="13" customFormat="false" ht="15" hidden="false" customHeight="false" outlineLevel="0" collapsed="false">
      <c r="A13" s="0" t="n">
        <v>6</v>
      </c>
      <c r="B13" s="3" t="n">
        <v>0.375</v>
      </c>
      <c r="C13" s="3" t="n">
        <v>0.708333333333333</v>
      </c>
      <c r="D13" s="4" t="n">
        <f aca="false">IF(C13&lt;B13,C13+1,C13)-B13</f>
        <v>0.333333333333333</v>
      </c>
      <c r="E13" s="0" t="n">
        <f aca="false">D13*24</f>
        <v>8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440</v>
      </c>
    </row>
    <row r="14" customFormat="false" ht="15" hidden="false" customHeight="false" outlineLevel="0" collapsed="false">
      <c r="A14" s="0" t="n">
        <v>7</v>
      </c>
      <c r="B14" s="3" t="n">
        <v>0.375</v>
      </c>
      <c r="C14" s="3" t="n">
        <v>0.708333333333333</v>
      </c>
      <c r="D14" s="4" t="n">
        <f aca="false">IF(C14&lt;B14,C14+1,C14)-B14</f>
        <v>0.333333333333333</v>
      </c>
      <c r="E14" s="0" t="n">
        <f aca="false">D14*24</f>
        <v>8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440</v>
      </c>
    </row>
    <row r="15" customFormat="false" ht="15" hidden="false" customHeight="false" outlineLevel="0" collapsed="false">
      <c r="A15" s="2" t="s">
        <v>17</v>
      </c>
      <c r="B15" s="3" t="n">
        <v>0.375</v>
      </c>
      <c r="C15" s="3" t="n">
        <v>0.708333333333333</v>
      </c>
      <c r="D15" s="4" t="n">
        <f aca="false">IF(C15&lt;B15,C15+1,C15)-B15</f>
        <v>0.333333333333333</v>
      </c>
      <c r="E15" s="0" t="n">
        <f aca="false">D15*24</f>
        <v>8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440</v>
      </c>
    </row>
    <row r="16" customFormat="false" ht="15" hidden="false" customHeight="false" outlineLevel="0" collapsed="false">
      <c r="A16" s="0" t="n">
        <v>9</v>
      </c>
      <c r="B16" s="3" t="n">
        <v>0.375</v>
      </c>
      <c r="C16" s="3" t="n">
        <v>0.708333333333333</v>
      </c>
      <c r="D16" s="4" t="n">
        <f aca="false">IF(C16&lt;B16,C16+1,C16)-B16</f>
        <v>0.333333333333333</v>
      </c>
      <c r="E16" s="0" t="n">
        <f aca="false">D16*24</f>
        <v>8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440</v>
      </c>
    </row>
    <row r="17" customFormat="false" ht="15" hidden="false" customHeight="false" outlineLevel="0" collapsed="false">
      <c r="A17" s="0" t="n">
        <v>10</v>
      </c>
      <c r="B17" s="3" t="n">
        <v>0.375</v>
      </c>
      <c r="C17" s="3" t="n">
        <v>0.708333333333333</v>
      </c>
      <c r="D17" s="4" t="n">
        <f aca="false">IF(C17&lt;B17,C17+1,C17)-B17</f>
        <v>0.333333333333333</v>
      </c>
      <c r="E17" s="0" t="n">
        <f aca="false">D17*24</f>
        <v>8</v>
      </c>
      <c r="F17" s="0" t="n">
        <f aca="false">IF(E17&gt;$B$3,E17-$B$3,0)</f>
        <v>0</v>
      </c>
      <c r="G17" s="0" t="n">
        <f aca="false">IF(E17&lt;$B$3,$B$3-E17,0)</f>
        <v>0</v>
      </c>
      <c r="H17" s="0" t="n">
        <f aca="false">$B$5*(E17/$B$3)</f>
        <v>440</v>
      </c>
    </row>
    <row r="18" customFormat="false" ht="15" hidden="false" customHeight="false" outlineLevel="0" collapsed="false">
      <c r="A18" s="0" t="n">
        <v>11</v>
      </c>
      <c r="B18" s="3" t="n">
        <v>0.375</v>
      </c>
      <c r="C18" s="3" t="n">
        <v>0.708333333333333</v>
      </c>
      <c r="D18" s="4" t="n">
        <f aca="false">IF(C18&lt;B18,C18+1,C18)-B18</f>
        <v>0.333333333333333</v>
      </c>
      <c r="E18" s="0" t="n">
        <f aca="false">D18*24</f>
        <v>8</v>
      </c>
      <c r="F18" s="0" t="n">
        <f aca="false">IF(E18&gt;$B$3,E18-$B$3,0)</f>
        <v>0</v>
      </c>
      <c r="G18" s="0" t="n">
        <f aca="false">IF(E18&lt;$B$3,$B$3-E18,0)</f>
        <v>0</v>
      </c>
      <c r="H18" s="0" t="n">
        <f aca="false">$B$5*(E18/$B$3)</f>
        <v>440</v>
      </c>
    </row>
    <row r="19" customFormat="false" ht="15" hidden="false" customHeight="false" outlineLevel="0" collapsed="false">
      <c r="A19" s="0" t="n">
        <v>12</v>
      </c>
      <c r="B19" s="3" t="n">
        <v>0.375</v>
      </c>
      <c r="C19" s="3" t="n">
        <v>0.708333333333333</v>
      </c>
      <c r="D19" s="4" t="n">
        <f aca="false">IF(C19&lt;B19,C19+1,C19)-B19</f>
        <v>0.333333333333333</v>
      </c>
      <c r="E19" s="0" t="n">
        <f aca="false">D19*24</f>
        <v>8</v>
      </c>
      <c r="F19" s="0" t="n">
        <f aca="false">IF(E19&gt;$B$3,E19-$B$3,0)</f>
        <v>0</v>
      </c>
      <c r="G19" s="0" t="n">
        <f aca="false">IF(E19&lt;$B$3,$B$3-E19,0)</f>
        <v>0</v>
      </c>
      <c r="H19" s="0" t="n">
        <f aca="false">$B$5*(E19/$B$3)</f>
        <v>440</v>
      </c>
    </row>
    <row r="20" customFormat="false" ht="15" hidden="false" customHeight="false" outlineLevel="0" collapsed="false">
      <c r="A20" s="0" t="n">
        <v>13</v>
      </c>
      <c r="B20" s="3" t="n">
        <v>0.375</v>
      </c>
      <c r="C20" s="3" t="n">
        <v>0.708333333333333</v>
      </c>
      <c r="D20" s="4" t="n">
        <f aca="false">IF(C20&lt;B20,C20+1,C20)-B20</f>
        <v>0.333333333333333</v>
      </c>
      <c r="E20" s="0" t="n">
        <f aca="false">D20*24</f>
        <v>8</v>
      </c>
      <c r="F20" s="0" t="n">
        <f aca="false">IF(E20&gt;$B$3,E20-$B$3,0)</f>
        <v>0</v>
      </c>
      <c r="G20" s="0" t="n">
        <f aca="false">IF(E20&lt;$B$3,$B$3-E20,0)</f>
        <v>0</v>
      </c>
      <c r="H20" s="0" t="n">
        <f aca="false">$B$5*(E20/$B$3)</f>
        <v>440</v>
      </c>
    </row>
    <row r="21" customFormat="false" ht="15" hidden="false" customHeight="false" outlineLevel="0" collapsed="false">
      <c r="A21" s="0" t="n">
        <v>14</v>
      </c>
      <c r="B21" s="3" t="n">
        <v>0.375</v>
      </c>
      <c r="C21" s="3" t="n">
        <v>0.708333333333333</v>
      </c>
      <c r="D21" s="4" t="n">
        <f aca="false">IF(C21&lt;B21,C21+1,C21)-B21</f>
        <v>0.333333333333333</v>
      </c>
      <c r="E21" s="0" t="n">
        <f aca="false">D21*24</f>
        <v>8</v>
      </c>
      <c r="F21" s="0" t="n">
        <f aca="false">IF(E21&gt;$B$3,E21-$B$3,0)</f>
        <v>0</v>
      </c>
      <c r="G21" s="0" t="n">
        <f aca="false">IF(E21&lt;$B$3,$B$3-E21,0)</f>
        <v>0</v>
      </c>
      <c r="H21" s="0" t="n">
        <f aca="false">$B$5*(E21/$B$3)</f>
        <v>440</v>
      </c>
    </row>
    <row r="22" customFormat="false" ht="15" hidden="false" customHeight="false" outlineLevel="0" collapsed="false">
      <c r="A22" s="2" t="s">
        <v>18</v>
      </c>
      <c r="B22" s="3" t="n">
        <v>0.375</v>
      </c>
      <c r="C22" s="3" t="n">
        <v>0.708333333333333</v>
      </c>
      <c r="D22" s="4" t="n">
        <f aca="false">IF(C22&lt;B22,C22+1,C22)-B22</f>
        <v>0.333333333333333</v>
      </c>
      <c r="E22" s="0" t="n">
        <f aca="false">D22*24</f>
        <v>8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440</v>
      </c>
    </row>
    <row r="23" customFormat="false" ht="15" hidden="false" customHeight="false" outlineLevel="0" collapsed="false">
      <c r="A23" s="0" t="n">
        <v>16</v>
      </c>
      <c r="B23" s="3" t="n">
        <v>0.375</v>
      </c>
      <c r="C23" s="3" t="n">
        <v>0.708333333333333</v>
      </c>
      <c r="D23" s="4" t="n">
        <f aca="false">IF(C23&lt;B23,C23+1,C23)-B23</f>
        <v>0.333333333333333</v>
      </c>
      <c r="E23" s="0" t="n">
        <f aca="false">D23*24</f>
        <v>8</v>
      </c>
      <c r="F23" s="0" t="n">
        <f aca="false">IF(E23&gt;$B$3,E23-$B$3,0)</f>
        <v>0</v>
      </c>
      <c r="G23" s="0" t="n">
        <f aca="false">IF(E23&lt;$B$3,$B$3-E23,0)</f>
        <v>0</v>
      </c>
      <c r="H23" s="0" t="n">
        <f aca="false">$B$5*(E23/$B$3)</f>
        <v>440</v>
      </c>
    </row>
    <row r="24" customFormat="false" ht="15" hidden="false" customHeight="false" outlineLevel="0" collapsed="false">
      <c r="A24" s="0" t="n">
        <v>17</v>
      </c>
      <c r="B24" s="3" t="n">
        <v>0.375</v>
      </c>
      <c r="C24" s="3" t="n">
        <v>0.708333333333333</v>
      </c>
      <c r="D24" s="4" t="n">
        <f aca="false">IF(C24&lt;B24,C24+1,C24)-B24</f>
        <v>0.333333333333333</v>
      </c>
      <c r="E24" s="0" t="n">
        <f aca="false">D24*24</f>
        <v>8</v>
      </c>
      <c r="F24" s="0" t="n">
        <f aca="false">IF(E24&gt;$B$3,E24-$B$3,0)</f>
        <v>0</v>
      </c>
      <c r="G24" s="0" t="n">
        <f aca="false">IF(E24&lt;$B$3,$B$3-E24,0)</f>
        <v>0</v>
      </c>
      <c r="H24" s="0" t="n">
        <f aca="false">$B$5*(E24/$B$3)</f>
        <v>440</v>
      </c>
    </row>
    <row r="25" customFormat="false" ht="15" hidden="false" customHeight="false" outlineLevel="0" collapsed="false">
      <c r="A25" s="0" t="n">
        <v>18</v>
      </c>
      <c r="B25" s="3" t="n">
        <v>0.375</v>
      </c>
      <c r="C25" s="3" t="n">
        <v>0.708333333333333</v>
      </c>
      <c r="D25" s="4" t="n">
        <f aca="false">IF(C25&lt;B25,C25+1,C25)-B25</f>
        <v>0.333333333333333</v>
      </c>
      <c r="E25" s="0" t="n">
        <f aca="false">D25*24</f>
        <v>8</v>
      </c>
      <c r="F25" s="0" t="n">
        <f aca="false">IF(E25&gt;$B$3,E25-$B$3,0)</f>
        <v>0</v>
      </c>
      <c r="G25" s="0" t="n">
        <f aca="false">IF(E25&lt;$B$3,$B$3-E25,0)</f>
        <v>0</v>
      </c>
      <c r="H25" s="0" t="n">
        <f aca="false">$B$5*(E25/$B$3)</f>
        <v>440</v>
      </c>
    </row>
    <row r="26" customFormat="false" ht="15" hidden="false" customHeight="false" outlineLevel="0" collapsed="false">
      <c r="A26" s="0" t="n">
        <v>19</v>
      </c>
      <c r="B26" s="3" t="n">
        <v>0.375</v>
      </c>
      <c r="C26" s="3" t="n">
        <v>0.708333333333333</v>
      </c>
      <c r="D26" s="4" t="n">
        <f aca="false">IF(C26&lt;B26,C26+1,C26)-B26</f>
        <v>0.333333333333333</v>
      </c>
      <c r="E26" s="0" t="n">
        <f aca="false">D26*24</f>
        <v>8</v>
      </c>
      <c r="F26" s="0" t="n">
        <f aca="false">IF(E26&gt;$B$3,E26-$B$3,0)</f>
        <v>0</v>
      </c>
      <c r="G26" s="0" t="n">
        <f aca="false">IF(E26&lt;$B$3,$B$3-E26,0)</f>
        <v>0</v>
      </c>
      <c r="H26" s="0" t="n">
        <f aca="false">$B$5*(E26/$B$3)</f>
        <v>440</v>
      </c>
    </row>
    <row r="27" customFormat="false" ht="15" hidden="false" customHeight="false" outlineLevel="0" collapsed="false">
      <c r="A27" s="0" t="n">
        <v>20</v>
      </c>
      <c r="B27" s="3" t="n">
        <v>0.375</v>
      </c>
      <c r="C27" s="3" t="n">
        <v>0.708333333333333</v>
      </c>
      <c r="D27" s="4" t="n">
        <f aca="false">IF(C27&lt;B27,C27+1,C27)-B27</f>
        <v>0.333333333333333</v>
      </c>
      <c r="E27" s="0" t="n">
        <f aca="false">D27*24</f>
        <v>8</v>
      </c>
      <c r="F27" s="0" t="n">
        <f aca="false">IF(E27&gt;$B$3,E27-$B$3,0)</f>
        <v>0</v>
      </c>
      <c r="G27" s="0" t="n">
        <f aca="false">IF(E27&lt;$B$3,$B$3-E27,0)</f>
        <v>0</v>
      </c>
      <c r="H27" s="0" t="n">
        <f aca="false">$B$5*(E27/$B$3)</f>
        <v>440</v>
      </c>
    </row>
    <row r="28" customFormat="false" ht="15" hidden="false" customHeight="false" outlineLevel="0" collapsed="false">
      <c r="A28" s="0" t="n">
        <v>21</v>
      </c>
      <c r="B28" s="3" t="n">
        <v>0.375</v>
      </c>
      <c r="C28" s="3" t="n">
        <v>0.708333333333333</v>
      </c>
      <c r="D28" s="4" t="n">
        <f aca="false">IF(C28&lt;B28,C28+1,C28)-B28</f>
        <v>0.333333333333333</v>
      </c>
      <c r="E28" s="0" t="n">
        <f aca="false">D28*24</f>
        <v>8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440</v>
      </c>
    </row>
    <row r="29" customFormat="false" ht="15" hidden="false" customHeight="false" outlineLevel="0" collapsed="false">
      <c r="A29" s="2" t="s">
        <v>20</v>
      </c>
      <c r="B29" s="3" t="n">
        <v>0.375</v>
      </c>
      <c r="C29" s="3" t="n">
        <v>0.708333333333333</v>
      </c>
      <c r="D29" s="4" t="n">
        <f aca="false">IF(C29&lt;B29,C29+1,C29)-B29</f>
        <v>0.333333333333333</v>
      </c>
      <c r="E29" s="0" t="n">
        <f aca="false">D29*24</f>
        <v>8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440</v>
      </c>
    </row>
    <row r="30" customFormat="false" ht="15" hidden="false" customHeight="false" outlineLevel="0" collapsed="false">
      <c r="A30" s="2" t="s">
        <v>33</v>
      </c>
      <c r="B30" s="3" t="n">
        <v>0.375</v>
      </c>
      <c r="C30" s="3" t="n">
        <v>0.708333333333333</v>
      </c>
      <c r="D30" s="4" t="n">
        <f aca="false">IF(C30&lt;B30,C30+1,C30)-B30</f>
        <v>0.333333333333333</v>
      </c>
      <c r="E30" s="0" t="n">
        <f aca="false">D30*24</f>
        <v>8</v>
      </c>
      <c r="F30" s="0" t="n">
        <f aca="false">IF(E30&gt;$B$3,E30-$B$3,0)</f>
        <v>0</v>
      </c>
      <c r="G30" s="0" t="n">
        <f aca="false">IF(E30&lt;$B$3,$B$3-E30,0)</f>
        <v>0</v>
      </c>
      <c r="H30" s="0" t="n">
        <f aca="false">$B$5*(E30/$B$3)</f>
        <v>440</v>
      </c>
    </row>
    <row r="31" customFormat="false" ht="15" hidden="false" customHeight="false" outlineLevel="0" collapsed="false">
      <c r="A31" s="2" t="s">
        <v>34</v>
      </c>
      <c r="B31" s="3" t="n">
        <v>0.375</v>
      </c>
      <c r="C31" s="3" t="n">
        <v>0.708333333333333</v>
      </c>
      <c r="D31" s="4" t="n">
        <f aca="false">IF(C31&lt;B31,C31+1,C31)-B31</f>
        <v>0.333333333333333</v>
      </c>
      <c r="E31" s="0" t="n">
        <f aca="false">D31*24</f>
        <v>8</v>
      </c>
      <c r="F31" s="0" t="n">
        <f aca="false">IF(E31&gt;$B$3,E31-$B$3,0)</f>
        <v>0</v>
      </c>
      <c r="G31" s="0" t="n">
        <f aca="false">IF(E31&lt;$B$3,$B$3-E31,0)</f>
        <v>0</v>
      </c>
      <c r="H31" s="0" t="n">
        <f aca="false">$B$5*(E31/$B$3)</f>
        <v>440</v>
      </c>
    </row>
    <row r="32" customFormat="false" ht="15" hidden="false" customHeight="false" outlineLevel="0" collapsed="false">
      <c r="A32" s="2" t="n">
        <v>25</v>
      </c>
      <c r="D32" s="0" t="n">
        <f aca="false">IF(C32&lt;B32,C32+1,C32)-B32</f>
        <v>0</v>
      </c>
      <c r="E32" s="0" t="n">
        <f aca="false">D32*24</f>
        <v>0</v>
      </c>
      <c r="F32" s="0" t="n">
        <f aca="false">IF(E32&gt;$B$3,E32-$B$3,0)</f>
        <v>0</v>
      </c>
      <c r="G32" s="0" t="n">
        <f aca="false">IF(E32&lt;$B$3,$B$3-E32,0)</f>
        <v>8</v>
      </c>
      <c r="H32" s="0" t="n">
        <f aca="false">$B$5*(E32/$B$3)</f>
        <v>0</v>
      </c>
    </row>
    <row r="33" customFormat="false" ht="15" hidden="false" customHeight="false" outlineLevel="0" collapsed="false">
      <c r="A33" s="0" t="n">
        <v>26</v>
      </c>
      <c r="D33" s="0" t="n">
        <f aca="false">IF(C33&lt;B33,C33+1,C33)-B33</f>
        <v>0</v>
      </c>
      <c r="E33" s="0" t="n">
        <f aca="false">D33*24</f>
        <v>0</v>
      </c>
      <c r="F33" s="0" t="n">
        <f aca="false">IF(E33&gt;$B$3,E33-$B$3,0)</f>
        <v>0</v>
      </c>
      <c r="G33" s="0" t="n">
        <f aca="false">IF(E33&lt;$B$3,$B$3-E33,0)</f>
        <v>8</v>
      </c>
      <c r="H33" s="0" t="n">
        <f aca="false">$B$5*(E33/$B$3)</f>
        <v>0</v>
      </c>
    </row>
    <row r="34" customFormat="false" ht="15" hidden="false" customHeight="false" outlineLevel="0" collapsed="false">
      <c r="A34" s="0" t="n">
        <v>27</v>
      </c>
      <c r="D34" s="0" t="n">
        <f aca="false">IF(C34&lt;B34,C34+1,C34)-B34</f>
        <v>0</v>
      </c>
      <c r="E34" s="0" t="n">
        <f aca="false">D34*24</f>
        <v>0</v>
      </c>
      <c r="F34" s="0" t="n">
        <f aca="false">IF(E34&gt;$B$3,E34-$B$3,0)</f>
        <v>0</v>
      </c>
      <c r="G34" s="0" t="n">
        <f aca="false">IF(E34&lt;$B$3,$B$3-E34,0)</f>
        <v>8</v>
      </c>
      <c r="H34" s="0" t="n">
        <f aca="false">$B$5*(E34/$B$3)</f>
        <v>0</v>
      </c>
    </row>
    <row r="35" customFormat="false" ht="15" hidden="false" customHeight="false" outlineLevel="0" collapsed="false">
      <c r="A35" s="0" t="n">
        <v>28</v>
      </c>
      <c r="D35" s="0" t="n">
        <f aca="false">IF(C35&lt;B35,C35+1,C35)-B35</f>
        <v>0</v>
      </c>
      <c r="E35" s="0" t="n">
        <f aca="false">D35*24</f>
        <v>0</v>
      </c>
      <c r="F35" s="0" t="n">
        <f aca="false">IF(E35&gt;$B$3,E35-$B$3,0)</f>
        <v>0</v>
      </c>
      <c r="G35" s="0" t="n">
        <f aca="false">IF(E35&lt;$B$3,$B$3-E35,0)</f>
        <v>8</v>
      </c>
      <c r="H35" s="0" t="n">
        <f aca="false">$B$5*(E35/$B$3)</f>
        <v>0</v>
      </c>
    </row>
    <row r="36" customFormat="false" ht="15" hidden="false" customHeight="false" outlineLevel="0" collapsed="false">
      <c r="A36" s="2" t="s">
        <v>21</v>
      </c>
      <c r="B36" s="3" t="n">
        <v>0.375</v>
      </c>
      <c r="C36" s="3" t="n">
        <v>0.708333333333333</v>
      </c>
      <c r="D36" s="4" t="n">
        <f aca="false">IF(C36&lt;B36,C36+1,C36)-B36</f>
        <v>0.333333333333333</v>
      </c>
      <c r="E36" s="0" t="n">
        <f aca="false">D36*24</f>
        <v>8</v>
      </c>
      <c r="F36" s="0" t="n">
        <f aca="false">IF(E36&gt;$B$3,E36-$B$3,0)</f>
        <v>0</v>
      </c>
      <c r="G36" s="0" t="n">
        <f aca="false">IF(E36&lt;$B$3,$B$3-E36,0)</f>
        <v>0</v>
      </c>
      <c r="H36" s="0" t="n">
        <f aca="false">$B$5*(E36/$B$3)</f>
        <v>440</v>
      </c>
    </row>
    <row r="37" customFormat="false" ht="15" hidden="false" customHeight="false" outlineLevel="0" collapsed="false">
      <c r="A37" s="0" t="n">
        <v>30</v>
      </c>
      <c r="B37" s="3" t="n">
        <v>0.293055555555556</v>
      </c>
      <c r="C37" s="3" t="n">
        <v>0.689583333333333</v>
      </c>
      <c r="D37" s="4" t="n">
        <f aca="false">IF(C37&lt;B37,C37+1,C37)-B37</f>
        <v>0.396527777777778</v>
      </c>
      <c r="E37" s="0" t="n">
        <f aca="false">D37*24</f>
        <v>9.51666666666667</v>
      </c>
      <c r="F37" s="0" t="n">
        <f aca="false">IF(E37&gt;$B$3,E37-$B$3,0)</f>
        <v>1.51666666666667</v>
      </c>
      <c r="G37" s="0" t="n">
        <f aca="false">IF(E37&lt;$B$3,$B$3-E37,0)</f>
        <v>0</v>
      </c>
      <c r="H37" s="0" t="n">
        <f aca="false">$B$5*(E37/$B$3)</f>
        <v>523.416666666667</v>
      </c>
    </row>
    <row r="38" customFormat="false" ht="15" hidden="false" customHeight="false" outlineLevel="0" collapsed="false">
      <c r="A38" s="0" t="n">
        <v>31</v>
      </c>
      <c r="B38" s="3"/>
      <c r="C38" s="3"/>
      <c r="D38" s="4" t="n">
        <f aca="false">IF(C38&lt;B38,C38+1,C38)-B38</f>
        <v>0</v>
      </c>
      <c r="E38" s="0" t="n">
        <f aca="false">D38*24</f>
        <v>0</v>
      </c>
      <c r="F38" s="0" t="n">
        <f aca="false">IF(E38&gt;$B$3,E38-$B$3,0)</f>
        <v>0</v>
      </c>
      <c r="G38" s="0" t="n">
        <f aca="false">IF(E38&lt;$B$3,$B$3-E38,0)</f>
        <v>8</v>
      </c>
      <c r="H38" s="0" t="n">
        <f aca="false">$B$5*(E38/$B$3)</f>
        <v>0</v>
      </c>
    </row>
    <row r="40" customFormat="false" ht="15" hidden="false" customHeight="false" outlineLevel="0" collapsed="false">
      <c r="A40" s="5" t="s">
        <v>23</v>
      </c>
      <c r="E40" s="0" t="n">
        <f aca="false">SUM(E8:E38)</f>
        <v>209.516666666667</v>
      </c>
      <c r="F40" s="0" t="n">
        <f aca="false">SUM(F8:F38)</f>
        <v>1.51666666666665</v>
      </c>
      <c r="H40" s="0" t="n">
        <f aca="false">SUM(H8:H38)</f>
        <v>11523.4166666667</v>
      </c>
    </row>
    <row r="42" customFormat="false" ht="15" hidden="false" customHeight="false" outlineLevel="0" collapsed="false">
      <c r="A42" s="5" t="s">
        <v>24</v>
      </c>
      <c r="B42" s="5" t="n">
        <f aca="false">H40-200</f>
        <v>11323.4166666667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46" activeCellId="0" sqref="D46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4.15"/>
    <col collapsed="false" customWidth="true" hidden="false" outlineLevel="0" max="2" min="2" style="0" width="21.57"/>
    <col collapsed="false" customWidth="true" hidden="false" outlineLevel="0" max="3" min="3" style="0" width="19.99"/>
    <col collapsed="false" customWidth="true" hidden="false" outlineLevel="0" max="4" min="4" style="0" width="15.57"/>
    <col collapsed="false" customWidth="true" hidden="false" outlineLevel="0" max="5" min="5" style="0" width="18"/>
    <col collapsed="false" customWidth="true" hidden="false" outlineLevel="0" max="6" min="6" style="0" width="13.14"/>
    <col collapsed="false" customWidth="true" hidden="false" outlineLevel="0" max="7" min="7" style="0" width="11.99"/>
    <col collapsed="false" customWidth="true" hidden="false" outlineLevel="0" max="8" min="8" style="0" width="14.86"/>
  </cols>
  <sheetData>
    <row r="1" customFormat="false" ht="15" hidden="false" customHeight="false" outlineLevel="0" collapsed="false">
      <c r="A1" s="0" t="s">
        <v>0</v>
      </c>
      <c r="B1" s="0" t="s">
        <v>35</v>
      </c>
    </row>
    <row r="2" customFormat="false" ht="15" hidden="false" customHeight="false" outlineLevel="0" collapsed="false">
      <c r="A2" s="0" t="s">
        <v>2</v>
      </c>
      <c r="B2" s="0" t="n">
        <v>26950</v>
      </c>
    </row>
    <row r="3" customFormat="false" ht="15" hidden="false" customHeight="false" outlineLevel="0" collapsed="false">
      <c r="A3" s="0" t="s">
        <v>3</v>
      </c>
      <c r="B3" s="0" t="n">
        <v>8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898.333333333333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0.375</v>
      </c>
      <c r="C8" s="3" t="n">
        <v>0.708333333333333</v>
      </c>
      <c r="D8" s="4" t="n">
        <f aca="false">IF(C8&lt;B8,C8+1,C8)-B8</f>
        <v>0.333333333333333</v>
      </c>
      <c r="E8" s="0" t="n">
        <f aca="false">D8*24</f>
        <v>8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898.333333333333</v>
      </c>
    </row>
    <row r="9" customFormat="false" ht="15" hidden="false" customHeight="false" outlineLevel="0" collapsed="false">
      <c r="A9" s="0" t="n">
        <v>2</v>
      </c>
      <c r="B9" s="3" t="n">
        <v>1.375</v>
      </c>
      <c r="C9" s="3" t="n">
        <v>1.70833333333333</v>
      </c>
      <c r="D9" s="4" t="n">
        <f aca="false">IF(C9&lt;B9,C9+1,C9)-B9</f>
        <v>0.333333333333333</v>
      </c>
      <c r="E9" s="0" t="n">
        <f aca="false">D9*24</f>
        <v>8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898.333333333333</v>
      </c>
    </row>
    <row r="10" customFormat="false" ht="15" hidden="false" customHeight="false" outlineLevel="0" collapsed="false">
      <c r="A10" s="2" t="s">
        <v>15</v>
      </c>
      <c r="B10" s="3" t="n">
        <v>2.375</v>
      </c>
      <c r="C10" s="3" t="n">
        <v>2.70833333333333</v>
      </c>
      <c r="D10" s="4" t="n">
        <f aca="false">IF(C10&lt;B10,C10+1,C10)-B10</f>
        <v>0.333333333333333</v>
      </c>
      <c r="E10" s="0" t="n">
        <f aca="false">D10*24</f>
        <v>8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898.333333333333</v>
      </c>
    </row>
    <row r="11" customFormat="false" ht="15" hidden="false" customHeight="false" outlineLevel="0" collapsed="false">
      <c r="A11" s="0" t="n">
        <v>4</v>
      </c>
      <c r="B11" s="3" t="n">
        <v>3.375</v>
      </c>
      <c r="C11" s="3" t="n">
        <v>3.70833333333333</v>
      </c>
      <c r="D11" s="4" t="n">
        <f aca="false">IF(C11&lt;B11,C11+1,C11)-B11</f>
        <v>0.333333333333333</v>
      </c>
      <c r="E11" s="0" t="n">
        <f aca="false">D11*24</f>
        <v>8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898.333333333333</v>
      </c>
    </row>
    <row r="12" customFormat="false" ht="15" hidden="false" customHeight="false" outlineLevel="0" collapsed="false">
      <c r="A12" s="0" t="n">
        <v>5</v>
      </c>
      <c r="B12" s="3" t="n">
        <v>4.375</v>
      </c>
      <c r="C12" s="3" t="n">
        <v>4.70833333333333</v>
      </c>
      <c r="D12" s="4" t="n">
        <f aca="false">IF(C12&lt;B12,C12+1,C12)-B12</f>
        <v>0.333333333333333</v>
      </c>
      <c r="E12" s="0" t="n">
        <f aca="false">D12*24</f>
        <v>8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898.333333333333</v>
      </c>
    </row>
    <row r="13" customFormat="false" ht="15" hidden="false" customHeight="false" outlineLevel="0" collapsed="false">
      <c r="A13" s="0" t="n">
        <v>6</v>
      </c>
      <c r="B13" s="3" t="n">
        <v>5.375</v>
      </c>
      <c r="C13" s="3" t="n">
        <v>5.70833333333333</v>
      </c>
      <c r="D13" s="4" t="n">
        <f aca="false">IF(C13&lt;B13,C13+1,C13)-B13</f>
        <v>0.333333333333333</v>
      </c>
      <c r="E13" s="0" t="n">
        <f aca="false">D13*24</f>
        <v>8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898.333333333333</v>
      </c>
    </row>
    <row r="14" customFormat="false" ht="15" hidden="false" customHeight="false" outlineLevel="0" collapsed="false">
      <c r="A14" s="0" t="n">
        <v>7</v>
      </c>
      <c r="B14" s="3" t="n">
        <v>6.375</v>
      </c>
      <c r="C14" s="3" t="n">
        <v>6.70833333333333</v>
      </c>
      <c r="D14" s="4" t="n">
        <f aca="false">IF(C14&lt;B14,C14+1,C14)-B14</f>
        <v>0.333333333333333</v>
      </c>
      <c r="E14" s="0" t="n">
        <f aca="false">D14*24</f>
        <v>8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898.333333333333</v>
      </c>
    </row>
    <row r="15" customFormat="false" ht="15" hidden="false" customHeight="false" outlineLevel="0" collapsed="false">
      <c r="A15" s="2" t="s">
        <v>17</v>
      </c>
      <c r="B15" s="3" t="n">
        <v>7.375</v>
      </c>
      <c r="C15" s="3" t="n">
        <v>7.70833333333333</v>
      </c>
      <c r="D15" s="4" t="n">
        <f aca="false">IF(C15&lt;B15,C15+1,C15)-B15</f>
        <v>0.333333333333333</v>
      </c>
      <c r="E15" s="0" t="n">
        <f aca="false">D15*24</f>
        <v>8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898.333333333333</v>
      </c>
    </row>
    <row r="16" customFormat="false" ht="15" hidden="false" customHeight="false" outlineLevel="0" collapsed="false">
      <c r="A16" s="0" t="n">
        <v>9</v>
      </c>
      <c r="B16" s="3" t="n">
        <v>8.375</v>
      </c>
      <c r="C16" s="3" t="n">
        <v>8.70833333333333</v>
      </c>
      <c r="D16" s="4" t="n">
        <f aca="false">IF(C16&lt;B16,C16+1,C16)-B16</f>
        <v>0.333333333333333</v>
      </c>
      <c r="E16" s="0" t="n">
        <f aca="false">D16*24</f>
        <v>8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898.333333333333</v>
      </c>
    </row>
    <row r="17" customFormat="false" ht="15" hidden="false" customHeight="false" outlineLevel="0" collapsed="false">
      <c r="A17" s="0" t="n">
        <v>10</v>
      </c>
      <c r="B17" s="3" t="n">
        <v>9.375</v>
      </c>
      <c r="C17" s="3" t="n">
        <v>9.70833333333333</v>
      </c>
      <c r="D17" s="4" t="n">
        <f aca="false">IF(C17&lt;B17,C17+1,C17)-B17</f>
        <v>0.333333333333333</v>
      </c>
      <c r="E17" s="0" t="n">
        <f aca="false">D17*24</f>
        <v>8</v>
      </c>
      <c r="F17" s="0" t="n">
        <f aca="false">IF(E17&gt;$B$3,E17-$B$3,0)</f>
        <v>0</v>
      </c>
      <c r="G17" s="0" t="n">
        <f aca="false">IF(E17&lt;$B$3,$B$3-E17,0)</f>
        <v>0</v>
      </c>
      <c r="H17" s="0" t="n">
        <f aca="false">$B$5*(E17/$B$3)</f>
        <v>898.333333333333</v>
      </c>
    </row>
    <row r="18" customFormat="false" ht="15" hidden="false" customHeight="false" outlineLevel="0" collapsed="false">
      <c r="A18" s="0" t="n">
        <v>11</v>
      </c>
      <c r="B18" s="3" t="n">
        <v>10.375</v>
      </c>
      <c r="C18" s="3" t="n">
        <v>10.7083333333333</v>
      </c>
      <c r="D18" s="4" t="n">
        <f aca="false">IF(C18&lt;B18,C18+1,C18)-B18</f>
        <v>0.333333333333333</v>
      </c>
      <c r="E18" s="0" t="n">
        <f aca="false">D18*24</f>
        <v>8</v>
      </c>
      <c r="F18" s="0" t="n">
        <f aca="false">IF(E18&gt;$B$3,E18-$B$3,0)</f>
        <v>0</v>
      </c>
      <c r="G18" s="0" t="n">
        <f aca="false">IF(E18&lt;$B$3,$B$3-E18,0)</f>
        <v>0</v>
      </c>
      <c r="H18" s="0" t="n">
        <f aca="false">$B$5*(E18/$B$3)</f>
        <v>898.333333333333</v>
      </c>
    </row>
    <row r="19" customFormat="false" ht="15" hidden="false" customHeight="false" outlineLevel="0" collapsed="false">
      <c r="A19" s="0" t="n">
        <v>12</v>
      </c>
      <c r="B19" s="3" t="n">
        <v>11.375</v>
      </c>
      <c r="C19" s="3" t="n">
        <v>11.7083333333333</v>
      </c>
      <c r="D19" s="4" t="n">
        <f aca="false">IF(C19&lt;B19,C19+1,C19)-B19</f>
        <v>0.333333333333333</v>
      </c>
      <c r="E19" s="0" t="n">
        <f aca="false">D19*24</f>
        <v>8</v>
      </c>
      <c r="F19" s="0" t="n">
        <f aca="false">IF(E19&gt;$B$3,E19-$B$3,0)</f>
        <v>0</v>
      </c>
      <c r="G19" s="0" t="n">
        <f aca="false">IF(E19&lt;$B$3,$B$3-E19,0)</f>
        <v>0</v>
      </c>
      <c r="H19" s="0" t="n">
        <f aca="false">$B$5*(E19/$B$3)</f>
        <v>898.333333333333</v>
      </c>
    </row>
    <row r="20" customFormat="false" ht="15" hidden="false" customHeight="false" outlineLevel="0" collapsed="false">
      <c r="A20" s="0" t="n">
        <v>13</v>
      </c>
      <c r="B20" s="3" t="n">
        <v>12.375</v>
      </c>
      <c r="C20" s="3" t="n">
        <v>12.7083333333333</v>
      </c>
      <c r="D20" s="4" t="n">
        <f aca="false">IF(C20&lt;B20,C20+1,C20)-B20</f>
        <v>0.333333333333333</v>
      </c>
      <c r="E20" s="0" t="n">
        <f aca="false">D20*24</f>
        <v>8</v>
      </c>
      <c r="F20" s="0" t="n">
        <f aca="false">IF(E20&gt;$B$3,E20-$B$3,0)</f>
        <v>0</v>
      </c>
      <c r="G20" s="0" t="n">
        <f aca="false">IF(E20&lt;$B$3,$B$3-E20,0)</f>
        <v>0</v>
      </c>
      <c r="H20" s="0" t="n">
        <f aca="false">$B$5*(E20/$B$3)</f>
        <v>898.333333333333</v>
      </c>
    </row>
    <row r="21" customFormat="false" ht="15" hidden="false" customHeight="false" outlineLevel="0" collapsed="false">
      <c r="A21" s="0" t="n">
        <v>14</v>
      </c>
      <c r="B21" s="3" t="n">
        <v>13.375</v>
      </c>
      <c r="C21" s="3" t="n">
        <v>13.7083333333333</v>
      </c>
      <c r="D21" s="4" t="n">
        <f aca="false">IF(C21&lt;B21,C21+1,C21)-B21</f>
        <v>0.333333333333333</v>
      </c>
      <c r="E21" s="0" t="n">
        <f aca="false">D21*24</f>
        <v>8</v>
      </c>
      <c r="F21" s="0" t="n">
        <f aca="false">IF(E21&gt;$B$3,E21-$B$3,0)</f>
        <v>0</v>
      </c>
      <c r="G21" s="0" t="n">
        <f aca="false">IF(E21&lt;$B$3,$B$3-E21,0)</f>
        <v>0</v>
      </c>
      <c r="H21" s="0" t="n">
        <f aca="false">$B$5*(E21/$B$3)</f>
        <v>898.333333333333</v>
      </c>
    </row>
    <row r="22" customFormat="false" ht="15" hidden="false" customHeight="false" outlineLevel="0" collapsed="false">
      <c r="A22" s="2" t="s">
        <v>18</v>
      </c>
      <c r="B22" s="3" t="n">
        <v>14.375</v>
      </c>
      <c r="C22" s="3" t="n">
        <v>14.7083333333333</v>
      </c>
      <c r="D22" s="4" t="n">
        <f aca="false">IF(C22&lt;B22,C22+1,C22)-B22</f>
        <v>0.333333333333333</v>
      </c>
      <c r="E22" s="0" t="n">
        <f aca="false">D22*24</f>
        <v>8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898.333333333333</v>
      </c>
    </row>
    <row r="23" customFormat="false" ht="15" hidden="false" customHeight="false" outlineLevel="0" collapsed="false">
      <c r="A23" s="0" t="n">
        <v>16</v>
      </c>
      <c r="B23" s="3" t="n">
        <v>15.375</v>
      </c>
      <c r="C23" s="3" t="n">
        <v>15.7083333333333</v>
      </c>
      <c r="D23" s="4" t="n">
        <f aca="false">IF(C23&lt;B23,C23+1,C23)-B23</f>
        <v>0.333333333333333</v>
      </c>
      <c r="E23" s="0" t="n">
        <f aca="false">D23*24</f>
        <v>8</v>
      </c>
      <c r="F23" s="0" t="n">
        <f aca="false">IF(E23&gt;$B$3,E23-$B$3,0)</f>
        <v>0</v>
      </c>
      <c r="G23" s="0" t="n">
        <f aca="false">IF(E23&lt;$B$3,$B$3-E23,0)</f>
        <v>0</v>
      </c>
      <c r="H23" s="0" t="n">
        <f aca="false">$B$5*(E23/$B$3)</f>
        <v>898.333333333333</v>
      </c>
    </row>
    <row r="24" customFormat="false" ht="15" hidden="false" customHeight="false" outlineLevel="0" collapsed="false">
      <c r="A24" s="0" t="n">
        <v>17</v>
      </c>
      <c r="B24" s="3" t="n">
        <v>16.375</v>
      </c>
      <c r="C24" s="3" t="n">
        <v>16.7083333333333</v>
      </c>
      <c r="D24" s="4" t="n">
        <f aca="false">IF(C24&lt;B24,C24+1,C24)-B24</f>
        <v>0.333333333333333</v>
      </c>
      <c r="E24" s="0" t="n">
        <f aca="false">D24*24</f>
        <v>8</v>
      </c>
      <c r="F24" s="0" t="n">
        <f aca="false">IF(E24&gt;$B$3,E24-$B$3,0)</f>
        <v>0</v>
      </c>
      <c r="G24" s="0" t="n">
        <f aca="false">IF(E24&lt;$B$3,$B$3-E24,0)</f>
        <v>0</v>
      </c>
      <c r="H24" s="0" t="n">
        <f aca="false">$B$5*(E24/$B$3)</f>
        <v>898.333333333333</v>
      </c>
    </row>
    <row r="25" customFormat="false" ht="15" hidden="false" customHeight="false" outlineLevel="0" collapsed="false">
      <c r="A25" s="0" t="n">
        <v>18</v>
      </c>
      <c r="B25" s="3" t="n">
        <v>17.375</v>
      </c>
      <c r="C25" s="3" t="n">
        <v>17.7083333333333</v>
      </c>
      <c r="D25" s="4" t="n">
        <f aca="false">IF(C25&lt;B25,C25+1,C25)-B25</f>
        <v>0.333333333333333</v>
      </c>
      <c r="E25" s="0" t="n">
        <f aca="false">D25*24</f>
        <v>8</v>
      </c>
      <c r="F25" s="0" t="n">
        <f aca="false">IF(E25&gt;$B$3,E25-$B$3,0)</f>
        <v>0</v>
      </c>
      <c r="G25" s="0" t="n">
        <f aca="false">IF(E25&lt;$B$3,$B$3-E25,0)</f>
        <v>0</v>
      </c>
      <c r="H25" s="0" t="n">
        <f aca="false">$B$5*(E25/$B$3)</f>
        <v>898.333333333333</v>
      </c>
    </row>
    <row r="26" customFormat="false" ht="15" hidden="false" customHeight="false" outlineLevel="0" collapsed="false">
      <c r="A26" s="2" t="s">
        <v>36</v>
      </c>
      <c r="B26" s="3" t="n">
        <v>18.375</v>
      </c>
      <c r="C26" s="3" t="n">
        <v>18.7083333333333</v>
      </c>
      <c r="D26" s="4" t="n">
        <f aca="false">IF(C26&lt;B26,C26+1,C26)-B26</f>
        <v>0.333333333333333</v>
      </c>
      <c r="E26" s="0" t="n">
        <f aca="false">D26*24</f>
        <v>8</v>
      </c>
      <c r="F26" s="0" t="n">
        <f aca="false">IF(E26&gt;$B$3,E26-$B$3,0)</f>
        <v>0</v>
      </c>
      <c r="G26" s="0" t="n">
        <f aca="false">IF(E26&lt;$B$3,$B$3-E26,0)</f>
        <v>0</v>
      </c>
      <c r="H26" s="0" t="n">
        <f aca="false">$B$5*(E26/$B$3)</f>
        <v>898.333333333333</v>
      </c>
    </row>
    <row r="27" customFormat="false" ht="15" hidden="false" customHeight="false" outlineLevel="0" collapsed="false">
      <c r="A27" s="0" t="n">
        <v>20</v>
      </c>
      <c r="B27" s="3" t="n">
        <v>19.375</v>
      </c>
      <c r="C27" s="3" t="n">
        <v>19.7083333333333</v>
      </c>
      <c r="D27" s="4" t="n">
        <f aca="false">IF(C27&lt;B27,C27+1,C27)-B27</f>
        <v>0.333333333333333</v>
      </c>
      <c r="E27" s="0" t="n">
        <f aca="false">D27*24</f>
        <v>8</v>
      </c>
      <c r="F27" s="0" t="n">
        <f aca="false">IF(E27&gt;$B$3,E27-$B$3,0)</f>
        <v>0</v>
      </c>
      <c r="G27" s="0" t="n">
        <f aca="false">IF(E27&lt;$B$3,$B$3-E27,0)</f>
        <v>0</v>
      </c>
      <c r="H27" s="0" t="n">
        <f aca="false">$B$5*(E27/$B$3)</f>
        <v>898.333333333333</v>
      </c>
    </row>
    <row r="28" customFormat="false" ht="15" hidden="false" customHeight="false" outlineLevel="0" collapsed="false">
      <c r="A28" s="0" t="n">
        <v>21</v>
      </c>
      <c r="B28" s="3" t="n">
        <v>20.375</v>
      </c>
      <c r="C28" s="3" t="n">
        <v>20.7083333333333</v>
      </c>
      <c r="D28" s="4" t="n">
        <f aca="false">IF(C28&lt;B28,C28+1,C28)-B28</f>
        <v>0.333333333333333</v>
      </c>
      <c r="E28" s="0" t="n">
        <f aca="false">D28*24</f>
        <v>8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898.333333333333</v>
      </c>
    </row>
    <row r="29" customFormat="false" ht="15" hidden="false" customHeight="false" outlineLevel="0" collapsed="false">
      <c r="A29" s="2" t="s">
        <v>20</v>
      </c>
      <c r="B29" s="3" t="n">
        <v>21.375</v>
      </c>
      <c r="C29" s="3" t="n">
        <v>21.7083333333333</v>
      </c>
      <c r="D29" s="4" t="n">
        <f aca="false">IF(C29&lt;B29,C29+1,C29)-B29</f>
        <v>0.333333333333333</v>
      </c>
      <c r="E29" s="0" t="n">
        <f aca="false">D29*24</f>
        <v>8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898.333333333333</v>
      </c>
    </row>
    <row r="30" customFormat="false" ht="15" hidden="false" customHeight="false" outlineLevel="0" collapsed="false">
      <c r="A30" s="0" t="n">
        <v>23</v>
      </c>
      <c r="B30" s="3" t="n">
        <v>0.375694444444444</v>
      </c>
      <c r="C30" s="3" t="n">
        <v>0.717361111111111</v>
      </c>
      <c r="D30" s="4" t="n">
        <f aca="false">IF(C30&lt;B30,C30+1,C30)-B30</f>
        <v>0.341666666666667</v>
      </c>
      <c r="E30" s="0" t="n">
        <f aca="false">D30*24</f>
        <v>8.2</v>
      </c>
      <c r="F30" s="0" t="n">
        <f aca="false">IF(E30&gt;$B$3,E30-$B$3,0)</f>
        <v>0.199999999999999</v>
      </c>
      <c r="G30" s="0" t="n">
        <f aca="false">IF(E30&lt;$B$3,$B$3-E30,0)</f>
        <v>0</v>
      </c>
      <c r="H30" s="0" t="n">
        <f aca="false">$B$5*(E30/$B$3)</f>
        <v>920.791666666667</v>
      </c>
    </row>
    <row r="31" customFormat="false" ht="15" hidden="false" customHeight="false" outlineLevel="0" collapsed="false">
      <c r="A31" s="0" t="n">
        <v>24</v>
      </c>
      <c r="B31" s="3" t="n">
        <v>0.377083333333333</v>
      </c>
      <c r="C31" s="3" t="n">
        <v>0.726388888888889</v>
      </c>
      <c r="D31" s="4" t="n">
        <f aca="false">IF(C31&lt;B31,C31+1,C31)-B31</f>
        <v>0.349305555555556</v>
      </c>
      <c r="E31" s="0" t="n">
        <f aca="false">D31*24</f>
        <v>8.38333333333333</v>
      </c>
      <c r="F31" s="0" t="n">
        <f aca="false">IF(E31&gt;$B$3,E31-$B$3,0)</f>
        <v>0.383333333333333</v>
      </c>
      <c r="G31" s="0" t="n">
        <f aca="false">IF(E31&lt;$B$3,$B$3-E31,0)</f>
        <v>0</v>
      </c>
      <c r="H31" s="0" t="n">
        <f aca="false">$B$5*(E31/$B$3)</f>
        <v>941.378472222222</v>
      </c>
    </row>
    <row r="32" customFormat="false" ht="15" hidden="false" customHeight="false" outlineLevel="0" collapsed="false">
      <c r="A32" s="2" t="n">
        <v>25</v>
      </c>
      <c r="B32" s="3" t="n">
        <v>0.377777777777778</v>
      </c>
      <c r="C32" s="3" t="n">
        <v>0.720138888888889</v>
      </c>
      <c r="D32" s="4" t="n">
        <f aca="false">IF(C32&lt;B32,C32+1,C32)-B32</f>
        <v>0.342361111111111</v>
      </c>
      <c r="E32" s="0" t="n">
        <f aca="false">D32*24</f>
        <v>8.21666666666667</v>
      </c>
      <c r="F32" s="0" t="n">
        <f aca="false">IF(E32&gt;$B$3,E32-$B$3,0)</f>
        <v>0.216666666666667</v>
      </c>
      <c r="G32" s="0" t="n">
        <f aca="false">IF(E32&lt;$B$3,$B$3-E32,0)</f>
        <v>0</v>
      </c>
      <c r="H32" s="0" t="n">
        <f aca="false">$B$5*(E32/$B$3)</f>
        <v>922.663194444444</v>
      </c>
    </row>
    <row r="33" customFormat="false" ht="15" hidden="false" customHeight="false" outlineLevel="0" collapsed="false">
      <c r="A33" s="0" t="n">
        <v>26</v>
      </c>
      <c r="B33" s="3" t="n">
        <v>0.38125</v>
      </c>
      <c r="C33" s="3" t="n">
        <v>0.75</v>
      </c>
      <c r="D33" s="4" t="n">
        <f aca="false">IF(C33&lt;B33,C33+1,C33)-B33</f>
        <v>0.36875</v>
      </c>
      <c r="E33" s="0" t="n">
        <f aca="false">D33*24</f>
        <v>8.85</v>
      </c>
      <c r="F33" s="0" t="n">
        <f aca="false">IF(E33&gt;$B$3,E33-$B$3,0)</f>
        <v>0.850000000000001</v>
      </c>
      <c r="G33" s="0" t="n">
        <f aca="false">IF(E33&lt;$B$3,$B$3-E33,0)</f>
        <v>0</v>
      </c>
      <c r="H33" s="0" t="n">
        <f aca="false">$B$5*(E33/$B$3)</f>
        <v>993.78125</v>
      </c>
    </row>
    <row r="34" customFormat="false" ht="15" hidden="false" customHeight="false" outlineLevel="0" collapsed="false">
      <c r="A34" s="0" t="n">
        <v>27</v>
      </c>
      <c r="B34" s="3" t="n">
        <v>0.404166666666667</v>
      </c>
      <c r="C34" s="3" t="n">
        <v>0.725</v>
      </c>
      <c r="D34" s="4" t="n">
        <f aca="false">IF(C34&lt;B34,C34+1,C34)-B34</f>
        <v>0.320833333333333</v>
      </c>
      <c r="E34" s="0" t="n">
        <f aca="false">D34*24</f>
        <v>7.7</v>
      </c>
      <c r="F34" s="0" t="n">
        <f aca="false">IF(E34&gt;$B$3,E34-$B$3,0)</f>
        <v>0</v>
      </c>
      <c r="G34" s="0" t="n">
        <f aca="false">IF(E34&lt;$B$3,$B$3-E34,0)</f>
        <v>0.299999999999999</v>
      </c>
      <c r="H34" s="0" t="n">
        <f aca="false">$B$5*(E34/$B$3)</f>
        <v>864.645833333334</v>
      </c>
    </row>
    <row r="35" customFormat="false" ht="15" hidden="false" customHeight="false" outlineLevel="0" collapsed="false">
      <c r="A35" s="0" t="n">
        <v>28</v>
      </c>
      <c r="B35" s="3" t="n">
        <v>0.398611111111111</v>
      </c>
      <c r="C35" s="3" t="n">
        <v>0.632638888888889</v>
      </c>
      <c r="D35" s="4" t="n">
        <f aca="false">IF(C35&lt;B35,C35+1,C35)-B35</f>
        <v>0.234027777777778</v>
      </c>
      <c r="E35" s="0" t="n">
        <f aca="false">D35*24</f>
        <v>5.61666666666667</v>
      </c>
      <c r="F35" s="0" t="n">
        <f aca="false">IF(E35&gt;$B$3,E35-$B$3,0)</f>
        <v>0</v>
      </c>
      <c r="G35" s="0" t="n">
        <f aca="false">IF(E35&lt;$B$3,$B$3-E35,0)</f>
        <v>2.38333333333333</v>
      </c>
      <c r="H35" s="0" t="n">
        <f aca="false">$B$5*(E35/$B$3)</f>
        <v>630.704861111111</v>
      </c>
    </row>
    <row r="36" customFormat="false" ht="15" hidden="false" customHeight="false" outlineLevel="0" collapsed="false">
      <c r="A36" s="2" t="s">
        <v>21</v>
      </c>
      <c r="B36" s="3" t="n">
        <v>0.375</v>
      </c>
      <c r="C36" s="3" t="n">
        <v>0.708333333333333</v>
      </c>
      <c r="D36" s="4" t="n">
        <f aca="false">IF(C36&lt;B36,C36+1,C36)-B36</f>
        <v>0.333333333333333</v>
      </c>
      <c r="E36" s="0" t="n">
        <f aca="false">D36*24</f>
        <v>8</v>
      </c>
      <c r="F36" s="0" t="n">
        <f aca="false">IF(E36&gt;$B$3,E36-$B$3,0)</f>
        <v>0</v>
      </c>
      <c r="G36" s="0" t="n">
        <f aca="false">IF(E36&lt;$B$3,$B$3-E36,0)</f>
        <v>0</v>
      </c>
      <c r="H36" s="0" t="n">
        <f aca="false">$B$5*(E36/$B$3)</f>
        <v>898.333333333333</v>
      </c>
    </row>
    <row r="37" customFormat="false" ht="15" hidden="false" customHeight="false" outlineLevel="0" collapsed="false">
      <c r="A37" s="0" t="n">
        <v>30</v>
      </c>
      <c r="B37" s="3" t="n">
        <v>0.371527777777778</v>
      </c>
      <c r="C37" s="3" t="n">
        <v>0.721527777777778</v>
      </c>
      <c r="D37" s="4" t="n">
        <f aca="false">IF(C37&lt;B37,C37+1,C37)-B37</f>
        <v>0.35</v>
      </c>
      <c r="E37" s="0" t="n">
        <f aca="false">D37*24</f>
        <v>8.4</v>
      </c>
      <c r="F37" s="0" t="n">
        <f aca="false">IF(E37&gt;$B$3,E37-$B$3,0)</f>
        <v>0.399999999999999</v>
      </c>
      <c r="G37" s="0" t="n">
        <f aca="false">IF(E37&lt;$B$3,$B$3-E37,0)</f>
        <v>0</v>
      </c>
      <c r="H37" s="0" t="n">
        <f aca="false">$B$5*(E37/$B$3)</f>
        <v>943.25</v>
      </c>
    </row>
    <row r="38" customFormat="false" ht="15" hidden="false" customHeight="false" outlineLevel="0" collapsed="false">
      <c r="A38" s="2" t="s">
        <v>37</v>
      </c>
      <c r="B38" s="3" t="n">
        <v>0.390972222222222</v>
      </c>
      <c r="C38" s="3" t="n">
        <v>0.720138888888889</v>
      </c>
      <c r="D38" s="4" t="n">
        <f aca="false">IF(C38&lt;B38,C38+1,C38)-B38</f>
        <v>0.329166666666667</v>
      </c>
      <c r="E38" s="0" t="n">
        <f aca="false">D38*24</f>
        <v>7.9</v>
      </c>
      <c r="F38" s="0" t="n">
        <f aca="false">IF(E38&gt;$B$3,E38-$B$3,0)</f>
        <v>0</v>
      </c>
      <c r="G38" s="0" t="n">
        <f aca="false">IF(E38&lt;$B$3,$B$3-E38,0)</f>
        <v>0.0999999999999996</v>
      </c>
      <c r="H38" s="0" t="n">
        <f aca="false">$B$5*(E38/$B$3)</f>
        <v>887.104166666667</v>
      </c>
    </row>
    <row r="40" customFormat="false" ht="15" hidden="false" customHeight="false" outlineLevel="0" collapsed="false">
      <c r="A40" s="5" t="s">
        <v>23</v>
      </c>
      <c r="D40" s="4"/>
      <c r="E40" s="0" t="n">
        <f aca="false">SUM(E8:E38)</f>
        <v>247.266666666656</v>
      </c>
      <c r="F40" s="0" t="n">
        <f aca="false">SUM(F8:F38)</f>
        <v>2.05000000000002</v>
      </c>
      <c r="H40" s="0" t="n">
        <f aca="false">SUM(H8:H38)</f>
        <v>27765.98611111</v>
      </c>
    </row>
    <row r="42" customFormat="false" ht="15" hidden="false" customHeight="false" outlineLevel="0" collapsed="false">
      <c r="A42" s="5" t="s">
        <v>24</v>
      </c>
      <c r="B42" s="5" t="n">
        <f aca="false">H40-200</f>
        <v>27565.98611111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D41" activeCellId="0" sqref="D41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4.15"/>
    <col collapsed="false" customWidth="true" hidden="false" outlineLevel="0" max="2" min="2" style="0" width="19.85"/>
    <col collapsed="false" customWidth="true" hidden="false" outlineLevel="0" max="4" min="3" style="0" width="18"/>
    <col collapsed="false" customWidth="true" hidden="false" outlineLevel="0" max="5" min="5" style="0" width="18.85"/>
    <col collapsed="false" customWidth="true" hidden="false" outlineLevel="0" max="6" min="6" style="0" width="18.71"/>
    <col collapsed="false" customWidth="true" hidden="false" outlineLevel="0" max="7" min="7" style="0" width="15.29"/>
    <col collapsed="false" customWidth="true" hidden="false" outlineLevel="0" max="8" min="8" style="0" width="18.14"/>
  </cols>
  <sheetData>
    <row r="1" customFormat="false" ht="15" hidden="false" customHeight="false" outlineLevel="0" collapsed="false">
      <c r="A1" s="0" t="s">
        <v>0</v>
      </c>
      <c r="B1" s="0" t="s">
        <v>38</v>
      </c>
    </row>
    <row r="2" customFormat="false" ht="15" hidden="false" customHeight="false" outlineLevel="0" collapsed="false">
      <c r="A2" s="0" t="s">
        <v>2</v>
      </c>
      <c r="B2" s="0" t="n">
        <v>24200</v>
      </c>
    </row>
    <row r="3" customFormat="false" ht="15" hidden="false" customHeight="false" outlineLevel="0" collapsed="false">
      <c r="A3" s="0" t="s">
        <v>3</v>
      </c>
      <c r="B3" s="0" t="n">
        <v>3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806.666666666667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0.708333333333333</v>
      </c>
      <c r="C8" s="3" t="n">
        <v>0.833333333333333</v>
      </c>
      <c r="D8" s="4" t="n">
        <f aca="false">IF(C8&lt;B8,C8+1,C8)-B8</f>
        <v>0.125</v>
      </c>
      <c r="E8" s="0" t="n">
        <f aca="false">D8*24</f>
        <v>3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806.666666666667</v>
      </c>
    </row>
    <row r="9" customFormat="false" ht="15" hidden="false" customHeight="false" outlineLevel="0" collapsed="false">
      <c r="A9" s="0" t="n">
        <v>2</v>
      </c>
      <c r="B9" s="3" t="n">
        <v>1.70833333333333</v>
      </c>
      <c r="C9" s="3" t="n">
        <v>1.83333333333333</v>
      </c>
      <c r="D9" s="4" t="n">
        <f aca="false">IF(C9&lt;B9,C9+1,C9)-B9</f>
        <v>0.125</v>
      </c>
      <c r="E9" s="0" t="n">
        <f aca="false">D9*24</f>
        <v>3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806.666666666667</v>
      </c>
    </row>
    <row r="10" customFormat="false" ht="15" hidden="false" customHeight="false" outlineLevel="0" collapsed="false">
      <c r="A10" s="0" t="n">
        <v>3</v>
      </c>
      <c r="B10" s="3" t="n">
        <v>2.70833333333333</v>
      </c>
      <c r="C10" s="3" t="n">
        <v>2.83333333333333</v>
      </c>
      <c r="D10" s="4" t="n">
        <f aca="false">IF(C10&lt;B10,C10+1,C10)-B10</f>
        <v>0.125</v>
      </c>
      <c r="E10" s="0" t="n">
        <f aca="false">D10*24</f>
        <v>3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806.666666666667</v>
      </c>
    </row>
    <row r="11" customFormat="false" ht="15" hidden="false" customHeight="false" outlineLevel="0" collapsed="false">
      <c r="A11" s="0" t="n">
        <v>4</v>
      </c>
      <c r="B11" s="3" t="n">
        <v>3.70833333333333</v>
      </c>
      <c r="C11" s="3" t="n">
        <v>3.83333333333333</v>
      </c>
      <c r="D11" s="4" t="n">
        <f aca="false">IF(C11&lt;B11,C11+1,C11)-B11</f>
        <v>0.125</v>
      </c>
      <c r="E11" s="0" t="n">
        <f aca="false">D11*24</f>
        <v>3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806.666666666667</v>
      </c>
    </row>
    <row r="12" customFormat="false" ht="15" hidden="false" customHeight="false" outlineLevel="0" collapsed="false">
      <c r="A12" s="0" t="n">
        <v>5</v>
      </c>
      <c r="B12" s="3" t="n">
        <v>4.70833333333333</v>
      </c>
      <c r="C12" s="3" t="n">
        <v>4.83333333333333</v>
      </c>
      <c r="D12" s="4" t="n">
        <f aca="false">IF(C12&lt;B12,C12+1,C12)-B12</f>
        <v>0.125</v>
      </c>
      <c r="E12" s="0" t="n">
        <f aca="false">D12*24</f>
        <v>3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806.666666666667</v>
      </c>
    </row>
    <row r="13" customFormat="false" ht="15" hidden="false" customHeight="false" outlineLevel="0" collapsed="false">
      <c r="A13" s="0" t="n">
        <v>6</v>
      </c>
      <c r="B13" s="3" t="n">
        <v>5.70833333333333</v>
      </c>
      <c r="C13" s="3" t="n">
        <v>5.83333333333333</v>
      </c>
      <c r="D13" s="4" t="n">
        <f aca="false">IF(C13&lt;B13,C13+1,C13)-B13</f>
        <v>0.125</v>
      </c>
      <c r="E13" s="0" t="n">
        <f aca="false">D13*24</f>
        <v>3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806.666666666667</v>
      </c>
    </row>
    <row r="14" customFormat="false" ht="15" hidden="false" customHeight="false" outlineLevel="0" collapsed="false">
      <c r="A14" s="0" t="n">
        <v>7</v>
      </c>
      <c r="B14" s="3" t="n">
        <v>6.70833333333333</v>
      </c>
      <c r="C14" s="3" t="n">
        <v>6.83333333333333</v>
      </c>
      <c r="D14" s="4" t="n">
        <f aca="false">IF(C14&lt;B14,C14+1,C14)-B14</f>
        <v>0.125</v>
      </c>
      <c r="E14" s="0" t="n">
        <f aca="false">D14*24</f>
        <v>3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806.666666666667</v>
      </c>
    </row>
    <row r="15" customFormat="false" ht="15" hidden="false" customHeight="false" outlineLevel="0" collapsed="false">
      <c r="A15" s="2" t="s">
        <v>17</v>
      </c>
      <c r="B15" s="3" t="n">
        <v>7.70833333333333</v>
      </c>
      <c r="C15" s="3" t="n">
        <v>7.83333333333333</v>
      </c>
      <c r="D15" s="4" t="n">
        <f aca="false">IF(C15&lt;B15,C15+1,C15)-B15</f>
        <v>0.125</v>
      </c>
      <c r="E15" s="0" t="n">
        <f aca="false">D15*24</f>
        <v>3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806.666666666667</v>
      </c>
    </row>
    <row r="16" customFormat="false" ht="15" hidden="false" customHeight="false" outlineLevel="0" collapsed="false">
      <c r="A16" s="0" t="n">
        <v>9</v>
      </c>
      <c r="B16" s="3" t="n">
        <v>8.70833333333333</v>
      </c>
      <c r="C16" s="3" t="n">
        <v>8.83333333333333</v>
      </c>
      <c r="D16" s="4" t="n">
        <f aca="false">IF(C16&lt;B16,C16+1,C16)-B16</f>
        <v>0.125</v>
      </c>
      <c r="E16" s="0" t="n">
        <f aca="false">D16*24</f>
        <v>3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806.666666666667</v>
      </c>
    </row>
    <row r="17" customFormat="false" ht="15" hidden="false" customHeight="false" outlineLevel="0" collapsed="false">
      <c r="A17" s="0" t="n">
        <v>10</v>
      </c>
      <c r="B17" s="3" t="n">
        <v>9.70833333333333</v>
      </c>
      <c r="C17" s="3" t="n">
        <v>9.83333333333333</v>
      </c>
      <c r="D17" s="4" t="n">
        <f aca="false">IF(C17&lt;B17,C17+1,C17)-B17</f>
        <v>0.125</v>
      </c>
      <c r="E17" s="0" t="n">
        <f aca="false">D17*24</f>
        <v>3</v>
      </c>
      <c r="F17" s="0" t="n">
        <f aca="false">IF(E17&gt;$B$3,E17-$B$3,0)</f>
        <v>0</v>
      </c>
      <c r="G17" s="0" t="n">
        <f aca="false">IF(E17&lt;$B$3,$B$3-E17,0)</f>
        <v>0</v>
      </c>
      <c r="H17" s="0" t="n">
        <f aca="false">$B$5*(E17/$B$3)</f>
        <v>806.666666666667</v>
      </c>
    </row>
    <row r="18" customFormat="false" ht="15" hidden="false" customHeight="false" outlineLevel="0" collapsed="false">
      <c r="A18" s="0" t="n">
        <v>11</v>
      </c>
      <c r="B18" s="3" t="n">
        <v>0.707638888888889</v>
      </c>
      <c r="C18" s="3" t="n">
        <v>0.854861111111111</v>
      </c>
      <c r="D18" s="4" t="n">
        <f aca="false">IF(C18&lt;B18,C18+1,C18)-B18</f>
        <v>0.147222222222222</v>
      </c>
      <c r="E18" s="0" t="n">
        <f aca="false">D18*24</f>
        <v>3.53333333333333</v>
      </c>
      <c r="F18" s="0" t="n">
        <f aca="false">IF(E18&gt;$B$3,E18-$B$3,0)</f>
        <v>0.533333333333333</v>
      </c>
      <c r="G18" s="0" t="n">
        <f aca="false">IF(E18&lt;$B$3,$B$3-E18,0)</f>
        <v>0</v>
      </c>
      <c r="H18" s="0" t="n">
        <f aca="false">$B$5*(E18/$B$3)</f>
        <v>950.074074074074</v>
      </c>
    </row>
    <row r="19" customFormat="false" ht="15" hidden="false" customHeight="false" outlineLevel="0" collapsed="false">
      <c r="A19" s="0" t="n">
        <v>12</v>
      </c>
      <c r="B19" s="3" t="n">
        <v>0.702083333333333</v>
      </c>
      <c r="C19" s="3" t="n">
        <v>0.836805555555555</v>
      </c>
      <c r="D19" s="4" t="n">
        <f aca="false">IF(C19&lt;B19,C19+1,C19)-B19</f>
        <v>0.134722222222222</v>
      </c>
      <c r="E19" s="0" t="n">
        <f aca="false">D19*24</f>
        <v>3.23333333333333</v>
      </c>
      <c r="F19" s="0" t="n">
        <f aca="false">IF(E19&gt;$B$3,E19-$B$3,0)</f>
        <v>0.233333333333333</v>
      </c>
      <c r="G19" s="0" t="n">
        <f aca="false">IF(E19&lt;$B$3,$B$3-E19,0)</f>
        <v>0</v>
      </c>
      <c r="H19" s="0" t="n">
        <f aca="false">$B$5*(E19/$B$3)</f>
        <v>869.407407407407</v>
      </c>
    </row>
    <row r="20" customFormat="false" ht="15" hidden="false" customHeight="false" outlineLevel="0" collapsed="false">
      <c r="A20" s="0" t="n">
        <v>13</v>
      </c>
      <c r="B20" s="3" t="n">
        <v>0.704861111111111</v>
      </c>
      <c r="C20" s="3" t="n">
        <v>0.848611111111111</v>
      </c>
      <c r="D20" s="4" t="n">
        <f aca="false">IF(C20&lt;B20,C20+1,C20)-B20</f>
        <v>0.14375</v>
      </c>
      <c r="E20" s="0" t="n">
        <f aca="false">D20*24</f>
        <v>3.45</v>
      </c>
      <c r="F20" s="0" t="n">
        <f aca="false">IF(E20&gt;$B$3,E20-$B$3,0)</f>
        <v>0.45</v>
      </c>
      <c r="G20" s="0" t="n">
        <f aca="false">IF(E20&lt;$B$3,$B$3-E20,0)</f>
        <v>0</v>
      </c>
      <c r="H20" s="0" t="n">
        <f aca="false">$B$5*(E20/$B$3)</f>
        <v>927.666666666667</v>
      </c>
    </row>
    <row r="21" customFormat="false" ht="15" hidden="false" customHeight="false" outlineLevel="0" collapsed="false">
      <c r="A21" s="0" t="n">
        <v>14</v>
      </c>
      <c r="B21" s="3" t="n">
        <v>0.706944444444444</v>
      </c>
      <c r="C21" s="3" t="n">
        <v>0.841666666666667</v>
      </c>
      <c r="D21" s="4" t="n">
        <f aca="false">IF(C21&lt;B21,C21+1,C21)-B21</f>
        <v>0.134722222222222</v>
      </c>
      <c r="E21" s="0" t="n">
        <f aca="false">D21*24</f>
        <v>3.23333333333333</v>
      </c>
      <c r="F21" s="0" t="n">
        <f aca="false">IF(E21&gt;$B$3,E21-$B$3,0)</f>
        <v>0.233333333333333</v>
      </c>
      <c r="G21" s="0" t="n">
        <f aca="false">IF(E21&lt;$B$3,$B$3-E21,0)</f>
        <v>0</v>
      </c>
      <c r="H21" s="0" t="n">
        <f aca="false">$B$5*(E21/$B$3)</f>
        <v>869.407407407407</v>
      </c>
    </row>
    <row r="22" customFormat="false" ht="15" hidden="false" customHeight="false" outlineLevel="0" collapsed="false">
      <c r="A22" s="2" t="s">
        <v>18</v>
      </c>
      <c r="B22" s="3" t="n">
        <v>14.7083333333333</v>
      </c>
      <c r="C22" s="3" t="n">
        <v>14.8333333333333</v>
      </c>
      <c r="D22" s="4" t="n">
        <f aca="false">IF(C22&lt;B22,C22+1,C22)-B22</f>
        <v>0.125</v>
      </c>
      <c r="E22" s="0" t="n">
        <f aca="false">D22*24</f>
        <v>3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806.666666666667</v>
      </c>
    </row>
    <row r="23" customFormat="false" ht="15" hidden="false" customHeight="false" outlineLevel="0" collapsed="false">
      <c r="A23" s="0" t="n">
        <v>16</v>
      </c>
      <c r="B23" s="3" t="n">
        <v>0.718055555555556</v>
      </c>
      <c r="C23" s="3" t="n">
        <v>0.852083333333333</v>
      </c>
      <c r="D23" s="4" t="n">
        <f aca="false">IF(C23&lt;B23,C23+1,C23)-B23</f>
        <v>0.134027777777778</v>
      </c>
      <c r="E23" s="0" t="n">
        <f aca="false">D23*24</f>
        <v>3.21666666666667</v>
      </c>
      <c r="F23" s="0" t="n">
        <f aca="false">IF(E23&gt;$B$3,E23-$B$3,0)</f>
        <v>0.216666666666667</v>
      </c>
      <c r="G23" s="0" t="n">
        <f aca="false">IF(E23&lt;$B$3,$B$3-E23,0)</f>
        <v>0</v>
      </c>
      <c r="H23" s="0" t="n">
        <f aca="false">$B$5*(E23/$B$3)</f>
        <v>864.925925925926</v>
      </c>
    </row>
    <row r="24" customFormat="false" ht="15" hidden="false" customHeight="false" outlineLevel="0" collapsed="false">
      <c r="A24" s="0" t="n">
        <v>17</v>
      </c>
      <c r="B24" s="3" t="n">
        <v>0.704861111111111</v>
      </c>
      <c r="C24" s="3" t="n">
        <v>0.847222222222222</v>
      </c>
      <c r="D24" s="4" t="n">
        <f aca="false">IF(C24&lt;B24,C24+1,C24)-B24</f>
        <v>0.142361111111111</v>
      </c>
      <c r="E24" s="0" t="n">
        <f aca="false">D24*24</f>
        <v>3.41666666666667</v>
      </c>
      <c r="F24" s="0" t="n">
        <f aca="false">IF(E24&gt;$B$3,E24-$B$3,0)</f>
        <v>0.416666666666667</v>
      </c>
      <c r="G24" s="0" t="n">
        <f aca="false">IF(E24&lt;$B$3,$B$3-E24,0)</f>
        <v>0</v>
      </c>
      <c r="H24" s="0" t="n">
        <f aca="false">$B$5*(E24/$B$3)</f>
        <v>918.703703703704</v>
      </c>
    </row>
    <row r="25" customFormat="false" ht="15" hidden="false" customHeight="false" outlineLevel="0" collapsed="false">
      <c r="A25" s="0" t="n">
        <v>18</v>
      </c>
      <c r="B25" s="3" t="n">
        <v>0.705555555555556</v>
      </c>
      <c r="C25" s="3" t="n">
        <v>0.841666666666667</v>
      </c>
      <c r="D25" s="4" t="n">
        <f aca="false">IF(C25&lt;B25,C25+1,C25)-B25</f>
        <v>0.136111111111111</v>
      </c>
      <c r="E25" s="0" t="n">
        <f aca="false">D25*24</f>
        <v>3.26666666666667</v>
      </c>
      <c r="F25" s="0" t="n">
        <f aca="false">IF(E25&gt;$B$3,E25-$B$3,0)</f>
        <v>0.266666666666667</v>
      </c>
      <c r="G25" s="0" t="n">
        <f aca="false">IF(E25&lt;$B$3,$B$3-E25,0)</f>
        <v>0</v>
      </c>
      <c r="H25" s="0" t="n">
        <f aca="false">$B$5*(E25/$B$3)</f>
        <v>878.37037037037</v>
      </c>
    </row>
    <row r="26" customFormat="false" ht="15" hidden="false" customHeight="false" outlineLevel="0" collapsed="false">
      <c r="A26" s="2" t="s">
        <v>36</v>
      </c>
      <c r="B26" s="3" t="n">
        <v>0.708333333333333</v>
      </c>
      <c r="C26" s="3" t="n">
        <v>0.833333333333333</v>
      </c>
      <c r="D26" s="4" t="n">
        <f aca="false">IF(C26&lt;B26,C26+1,C26)-B26</f>
        <v>0.125</v>
      </c>
      <c r="E26" s="0" t="n">
        <f aca="false">D26*24</f>
        <v>3</v>
      </c>
      <c r="F26" s="0" t="n">
        <f aca="false">IF(E26&gt;$B$3,E26-$B$3,0)</f>
        <v>0</v>
      </c>
      <c r="G26" s="0" t="n">
        <f aca="false">IF(E26&lt;$B$3,$B$3-E26,0)</f>
        <v>0</v>
      </c>
      <c r="H26" s="0" t="n">
        <f aca="false">$B$5*(E26/$B$3)</f>
        <v>806.666666666667</v>
      </c>
    </row>
    <row r="27" customFormat="false" ht="15" hidden="false" customHeight="false" outlineLevel="0" collapsed="false">
      <c r="A27" s="0" t="n">
        <v>20</v>
      </c>
      <c r="B27" s="3" t="n">
        <v>0.708333333333333</v>
      </c>
      <c r="C27" s="3" t="n">
        <v>0.833333333333333</v>
      </c>
      <c r="D27" s="4" t="n">
        <f aca="false">IF(C27&lt;B27,C27+1,C27)-B27</f>
        <v>0.125</v>
      </c>
      <c r="E27" s="0" t="n">
        <f aca="false">D27*24</f>
        <v>3</v>
      </c>
      <c r="F27" s="0" t="n">
        <f aca="false">IF(E27&gt;$B$3,E27-$B$3,0)</f>
        <v>0</v>
      </c>
      <c r="G27" s="0" t="n">
        <f aca="false">IF(E27&lt;$B$3,$B$3-E27,0)</f>
        <v>0</v>
      </c>
      <c r="H27" s="0" t="n">
        <f aca="false">$B$5*(E27/$B$3)</f>
        <v>806.666666666667</v>
      </c>
    </row>
    <row r="28" customFormat="false" ht="15" hidden="false" customHeight="false" outlineLevel="0" collapsed="false">
      <c r="A28" s="2" t="s">
        <v>19</v>
      </c>
      <c r="B28" s="3" t="n">
        <v>0.708333333333333</v>
      </c>
      <c r="C28" s="3" t="n">
        <v>0.833333333333333</v>
      </c>
      <c r="D28" s="4" t="n">
        <f aca="false">IF(C28&lt;B28,C28+1,C28)-B28</f>
        <v>0.125</v>
      </c>
      <c r="E28" s="0" t="n">
        <f aca="false">D28*24</f>
        <v>3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806.666666666667</v>
      </c>
    </row>
    <row r="29" customFormat="false" ht="15" hidden="false" customHeight="false" outlineLevel="0" collapsed="false">
      <c r="A29" s="2" t="s">
        <v>20</v>
      </c>
      <c r="B29" s="3" t="n">
        <v>0.708333333333333</v>
      </c>
      <c r="C29" s="3" t="n">
        <v>0.833333333333333</v>
      </c>
      <c r="D29" s="4" t="n">
        <f aca="false">IF(C29&lt;B29,C29+1,C29)-B29</f>
        <v>0.125</v>
      </c>
      <c r="E29" s="0" t="n">
        <f aca="false">D29*24</f>
        <v>3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806.666666666667</v>
      </c>
    </row>
    <row r="30" customFormat="false" ht="15" hidden="false" customHeight="false" outlineLevel="0" collapsed="false">
      <c r="A30" s="0" t="n">
        <v>23</v>
      </c>
      <c r="B30" s="3" t="n">
        <v>0.704861111111111</v>
      </c>
      <c r="C30" s="3" t="n">
        <v>0.844444444444444</v>
      </c>
      <c r="D30" s="4" t="n">
        <f aca="false">IF(C30&lt;B30,C30+1,C30)-B30</f>
        <v>0.139583333333333</v>
      </c>
      <c r="E30" s="0" t="n">
        <f aca="false">D30*24</f>
        <v>3.35</v>
      </c>
      <c r="F30" s="0" t="n">
        <f aca="false">IF(E30&gt;$B$3,E30-$B$3,0)</f>
        <v>0.35</v>
      </c>
      <c r="G30" s="0" t="n">
        <f aca="false">IF(E30&lt;$B$3,$B$3-E30,0)</f>
        <v>0</v>
      </c>
      <c r="H30" s="0" t="n">
        <f aca="false">$B$5*(E30/$B$3)</f>
        <v>900.777777777778</v>
      </c>
    </row>
    <row r="31" customFormat="false" ht="15" hidden="false" customHeight="false" outlineLevel="0" collapsed="false">
      <c r="A31" s="0" t="n">
        <v>24</v>
      </c>
      <c r="B31" s="3" t="n">
        <v>0.7125</v>
      </c>
      <c r="C31" s="3" t="n">
        <v>0.840277777777778</v>
      </c>
      <c r="D31" s="4" t="n">
        <f aca="false">IF(C31&lt;B31,C31+1,C31)-B31</f>
        <v>0.127777777777778</v>
      </c>
      <c r="E31" s="0" t="n">
        <f aca="false">D31*24</f>
        <v>3.06666666666667</v>
      </c>
      <c r="F31" s="0" t="n">
        <f aca="false">IF(E31&gt;$B$3,E31-$B$3,0)</f>
        <v>0.0666666666666664</v>
      </c>
      <c r="G31" s="0" t="n">
        <f aca="false">IF(E31&lt;$B$3,$B$3-E31,0)</f>
        <v>0</v>
      </c>
      <c r="H31" s="0" t="n">
        <f aca="false">$B$5*(E31/$B$3)</f>
        <v>824.592592592592</v>
      </c>
    </row>
    <row r="32" customFormat="false" ht="15" hidden="false" customHeight="false" outlineLevel="0" collapsed="false">
      <c r="A32" s="2" t="n">
        <v>25</v>
      </c>
      <c r="B32" s="3" t="n">
        <v>0.701388888888889</v>
      </c>
      <c r="C32" s="3" t="n">
        <v>0.838194444444444</v>
      </c>
      <c r="D32" s="4" t="n">
        <f aca="false">IF(C32&lt;B32,C32+1,C32)-B32</f>
        <v>0.136805555555556</v>
      </c>
      <c r="E32" s="0" t="n">
        <f aca="false">D32*24</f>
        <v>3.28333333333333</v>
      </c>
      <c r="F32" s="0" t="n">
        <f aca="false">IF(E32&gt;$B$3,E32-$B$3,0)</f>
        <v>0.283333333333334</v>
      </c>
      <c r="G32" s="0" t="n">
        <f aca="false">IF(E32&lt;$B$3,$B$3-E32,0)</f>
        <v>0</v>
      </c>
      <c r="H32" s="0" t="n">
        <f aca="false">$B$5*(E32/$B$3)</f>
        <v>882.851851851852</v>
      </c>
    </row>
    <row r="33" customFormat="false" ht="15" hidden="false" customHeight="false" outlineLevel="0" collapsed="false">
      <c r="A33" s="0" t="n">
        <v>26</v>
      </c>
      <c r="B33" s="3" t="n">
        <v>0.708333333333333</v>
      </c>
      <c r="C33" s="3" t="n">
        <v>0.854861111111111</v>
      </c>
      <c r="D33" s="4" t="n">
        <f aca="false">IF(C33&lt;B33,C33+1,C33)-B33</f>
        <v>0.146527777777778</v>
      </c>
      <c r="E33" s="0" t="n">
        <f aca="false">D33*24</f>
        <v>3.51666666666667</v>
      </c>
      <c r="F33" s="0" t="n">
        <f aca="false">IF(E33&gt;$B$3,E33-$B$3,0)</f>
        <v>0.516666666666667</v>
      </c>
      <c r="G33" s="0" t="n">
        <f aca="false">IF(E33&lt;$B$3,$B$3-E33,0)</f>
        <v>0</v>
      </c>
      <c r="H33" s="0" t="n">
        <f aca="false">$B$5*(E33/$B$3)</f>
        <v>945.592592592593</v>
      </c>
    </row>
    <row r="34" customFormat="false" ht="15" hidden="false" customHeight="false" outlineLevel="0" collapsed="false">
      <c r="A34" s="0" t="n">
        <v>27</v>
      </c>
      <c r="B34" s="3" t="n">
        <v>0.700694444444444</v>
      </c>
      <c r="C34" s="3" t="n">
        <v>0.834722222222222</v>
      </c>
      <c r="D34" s="4" t="n">
        <f aca="false">IF(C34&lt;B34,C34+1,C34)-B34</f>
        <v>0.134027777777778</v>
      </c>
      <c r="E34" s="0" t="n">
        <f aca="false">D34*24</f>
        <v>3.21666666666667</v>
      </c>
      <c r="F34" s="0" t="n">
        <f aca="false">IF(E34&gt;$B$3,E34-$B$3,0)</f>
        <v>0.216666666666667</v>
      </c>
      <c r="G34" s="0" t="n">
        <f aca="false">IF(E34&lt;$B$3,$B$3-E34,0)</f>
        <v>0</v>
      </c>
      <c r="H34" s="0" t="n">
        <f aca="false">$B$5*(E34/$B$3)</f>
        <v>864.925925925926</v>
      </c>
    </row>
    <row r="35" customFormat="false" ht="15" hidden="false" customHeight="false" outlineLevel="0" collapsed="false">
      <c r="A35" s="0" t="n">
        <v>28</v>
      </c>
      <c r="B35" s="3" t="n">
        <v>0.711805555555556</v>
      </c>
      <c r="C35" s="3" t="n">
        <v>0.836805555555556</v>
      </c>
      <c r="D35" s="4" t="n">
        <f aca="false">IF(C35&lt;B35,C35+1,C35)-B35</f>
        <v>0.125</v>
      </c>
      <c r="E35" s="0" t="n">
        <f aca="false">D35*24</f>
        <v>3</v>
      </c>
      <c r="F35" s="0" t="n">
        <f aca="false">IF(E35&gt;$B$3,E35-$B$3,0)</f>
        <v>0</v>
      </c>
      <c r="G35" s="0" t="n">
        <f aca="false">IF(E35&lt;$B$3,$B$3-E35,0)</f>
        <v>0</v>
      </c>
      <c r="H35" s="0" t="n">
        <f aca="false">$B$5*(E35/$B$3)</f>
        <v>806.666666666667</v>
      </c>
    </row>
    <row r="36" customFormat="false" ht="15" hidden="false" customHeight="false" outlineLevel="0" collapsed="false">
      <c r="A36" s="2" t="s">
        <v>21</v>
      </c>
      <c r="B36" s="3" t="n">
        <v>0.711805555555556</v>
      </c>
      <c r="C36" s="3" t="n">
        <v>0.833333333333333</v>
      </c>
      <c r="D36" s="4" t="n">
        <f aca="false">IF(C36&lt;B36,C36+1,C36)-B36</f>
        <v>0.121527777777778</v>
      </c>
      <c r="E36" s="0" t="n">
        <f aca="false">D36*24</f>
        <v>2.91666666666667</v>
      </c>
      <c r="F36" s="0" t="n">
        <f aca="false">IF(E36&gt;$B$3,E36-$B$3,0)</f>
        <v>0</v>
      </c>
      <c r="G36" s="0" t="n">
        <f aca="false">IF(E36&lt;$B$3,$B$3-E36,0)</f>
        <v>0.0833333333333335</v>
      </c>
      <c r="H36" s="0" t="n">
        <f aca="false">$B$5*(E36/$B$3)</f>
        <v>784.259259259259</v>
      </c>
    </row>
    <row r="37" customFormat="false" ht="15" hidden="false" customHeight="false" outlineLevel="0" collapsed="false">
      <c r="A37" s="0" t="n">
        <v>30</v>
      </c>
      <c r="B37" s="3" t="n">
        <v>0.702083333333333</v>
      </c>
      <c r="C37" s="3" t="n">
        <v>0.845833333333333</v>
      </c>
      <c r="D37" s="4" t="n">
        <f aca="false">IF(C37&lt;B37,C37+1,C37)-B37</f>
        <v>0.14375</v>
      </c>
      <c r="E37" s="0" t="n">
        <f aca="false">D37*24</f>
        <v>3.45</v>
      </c>
      <c r="F37" s="0" t="n">
        <f aca="false">IF(E37&gt;$B$3,E37-$B$3,0)</f>
        <v>0.45</v>
      </c>
      <c r="G37" s="0" t="n">
        <f aca="false">IF(E37&lt;$B$3,$B$3-E37,0)</f>
        <v>0</v>
      </c>
      <c r="H37" s="0" t="n">
        <f aca="false">$B$5*(E37/$B$3)</f>
        <v>927.666666666667</v>
      </c>
    </row>
    <row r="38" customFormat="false" ht="15" hidden="false" customHeight="false" outlineLevel="0" collapsed="false">
      <c r="A38" s="0" t="n">
        <v>31</v>
      </c>
      <c r="B38" s="3"/>
      <c r="C38" s="3"/>
      <c r="D38" s="4" t="n">
        <f aca="false">IF(C38&lt;B38,C38+1,C38)-B38</f>
        <v>0</v>
      </c>
      <c r="E38" s="0" t="n">
        <f aca="false">D38*24</f>
        <v>0</v>
      </c>
      <c r="F38" s="0" t="n">
        <f aca="false">IF(E38&gt;$B$3,E38-$B$3,0)</f>
        <v>0</v>
      </c>
      <c r="G38" s="0" t="n">
        <f aca="false">IF(E38&lt;$B$3,$B$3-E38,0)</f>
        <v>3</v>
      </c>
      <c r="H38" s="0" t="n">
        <f aca="false">$B$5*(E38/$B$3)</f>
        <v>0</v>
      </c>
    </row>
    <row r="40" customFormat="false" ht="15" hidden="false" customHeight="false" outlineLevel="0" collapsed="false">
      <c r="A40" s="6" t="s">
        <v>23</v>
      </c>
      <c r="E40" s="0" t="n">
        <f aca="false">SUM(E8:E38)</f>
        <v>94.15</v>
      </c>
      <c r="F40" s="0" t="n">
        <f aca="false">SUM(F8:F38)</f>
        <v>4.23333333333332</v>
      </c>
      <c r="H40" s="0" t="n">
        <f aca="false">SUM(H8:H38)</f>
        <v>25315.8888888889</v>
      </c>
    </row>
    <row r="42" customFormat="false" ht="15" hidden="false" customHeight="false" outlineLevel="0" collapsed="false">
      <c r="A42" s="6" t="s">
        <v>24</v>
      </c>
      <c r="B42" s="5" t="n">
        <f aca="false">H40-200</f>
        <v>25115.8888888889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H33" activeCellId="0" sqref="H33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4.15"/>
    <col collapsed="false" customWidth="true" hidden="false" outlineLevel="0" max="2" min="2" style="0" width="12.42"/>
    <col collapsed="false" customWidth="true" hidden="false" outlineLevel="0" max="3" min="3" style="0" width="13.01"/>
    <col collapsed="false" customWidth="true" hidden="false" outlineLevel="0" max="4" min="4" style="0" width="15.86"/>
    <col collapsed="false" customWidth="true" hidden="false" outlineLevel="0" max="5" min="5" style="0" width="19.29"/>
    <col collapsed="false" customWidth="true" hidden="false" outlineLevel="0" max="7" min="6" style="0" width="17.14"/>
    <col collapsed="false" customWidth="true" hidden="false" outlineLevel="0" max="8" min="8" style="0" width="24.42"/>
  </cols>
  <sheetData>
    <row r="1" customFormat="false" ht="15" hidden="false" customHeight="false" outlineLevel="0" collapsed="false">
      <c r="A1" s="0" t="s">
        <v>0</v>
      </c>
      <c r="B1" s="0" t="s">
        <v>39</v>
      </c>
    </row>
    <row r="2" customFormat="false" ht="15" hidden="false" customHeight="false" outlineLevel="0" collapsed="false">
      <c r="A2" s="0" t="s">
        <v>2</v>
      </c>
      <c r="B2" s="0" t="n">
        <v>28000</v>
      </c>
    </row>
    <row r="3" customFormat="false" ht="15" hidden="false" customHeight="false" outlineLevel="0" collapsed="false">
      <c r="A3" s="0" t="s">
        <v>3</v>
      </c>
      <c r="B3" s="0" t="n">
        <v>8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933.333333333333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0.416666666666667</v>
      </c>
      <c r="C8" s="3" t="n">
        <v>0.75</v>
      </c>
      <c r="D8" s="4" t="n">
        <f aca="false">IF(C8&lt;B8,C8+1,C8)-B8</f>
        <v>0.333333333333333</v>
      </c>
      <c r="E8" s="0" t="n">
        <f aca="false">D8*24</f>
        <v>8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933.333333333333</v>
      </c>
    </row>
    <row r="9" customFormat="false" ht="15" hidden="false" customHeight="false" outlineLevel="0" collapsed="false">
      <c r="A9" s="0" t="n">
        <v>2</v>
      </c>
      <c r="B9" s="3" t="n">
        <v>1.41666666666667</v>
      </c>
      <c r="C9" s="3" t="n">
        <v>1.75</v>
      </c>
      <c r="D9" s="4" t="n">
        <f aca="false">IF(C9&lt;B9,C9+1,C9)-B9</f>
        <v>0.333333333333333</v>
      </c>
      <c r="E9" s="0" t="n">
        <f aca="false">D9*24</f>
        <v>8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933.333333333333</v>
      </c>
    </row>
    <row r="10" customFormat="false" ht="15" hidden="false" customHeight="false" outlineLevel="0" collapsed="false">
      <c r="A10" s="2" t="s">
        <v>40</v>
      </c>
      <c r="B10" s="3" t="n">
        <v>2.41666666666667</v>
      </c>
      <c r="C10" s="3" t="n">
        <v>2.75</v>
      </c>
      <c r="D10" s="4" t="n">
        <f aca="false">IF(C10&lt;B10,C10+1,C10)-B10</f>
        <v>0.333333333333333</v>
      </c>
      <c r="E10" s="0" t="n">
        <f aca="false">D10*24</f>
        <v>8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933.333333333333</v>
      </c>
    </row>
    <row r="11" customFormat="false" ht="15" hidden="false" customHeight="false" outlineLevel="0" collapsed="false">
      <c r="A11" s="0" t="n">
        <v>4</v>
      </c>
      <c r="B11" s="3" t="n">
        <v>3.41666666666667</v>
      </c>
      <c r="C11" s="3" t="n">
        <v>3.75</v>
      </c>
      <c r="D11" s="4" t="n">
        <f aca="false">IF(C11&lt;B11,C11+1,C11)-B11</f>
        <v>0.333333333333333</v>
      </c>
      <c r="E11" s="0" t="n">
        <f aca="false">D11*24</f>
        <v>8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933.333333333333</v>
      </c>
    </row>
    <row r="12" customFormat="false" ht="15" hidden="false" customHeight="false" outlineLevel="0" collapsed="false">
      <c r="A12" s="0" t="n">
        <v>5</v>
      </c>
      <c r="B12" s="3" t="n">
        <v>4.41666666666667</v>
      </c>
      <c r="C12" s="3" t="n">
        <v>4.75</v>
      </c>
      <c r="D12" s="4" t="n">
        <f aca="false">IF(C12&lt;B12,C12+1,C12)-B12</f>
        <v>0.333333333333333</v>
      </c>
      <c r="E12" s="0" t="n">
        <f aca="false">D12*24</f>
        <v>8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933.333333333333</v>
      </c>
    </row>
    <row r="13" customFormat="false" ht="15" hidden="false" customHeight="false" outlineLevel="0" collapsed="false">
      <c r="A13" s="0" t="n">
        <v>6</v>
      </c>
      <c r="B13" s="3" t="n">
        <v>5.41666666666667</v>
      </c>
      <c r="C13" s="3" t="n">
        <v>5.75</v>
      </c>
      <c r="D13" s="4" t="n">
        <f aca="false">IF(C13&lt;B13,C13+1,C13)-B13</f>
        <v>0.333333333333333</v>
      </c>
      <c r="E13" s="0" t="n">
        <f aca="false">D13*24</f>
        <v>8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933.333333333333</v>
      </c>
    </row>
    <row r="14" customFormat="false" ht="15" hidden="false" customHeight="false" outlineLevel="0" collapsed="false">
      <c r="A14" s="0" t="n">
        <v>7</v>
      </c>
      <c r="B14" s="3" t="n">
        <v>6.41666666666667</v>
      </c>
      <c r="C14" s="3" t="n">
        <v>6.75</v>
      </c>
      <c r="D14" s="4" t="n">
        <f aca="false">IF(C14&lt;B14,C14+1,C14)-B14</f>
        <v>0.333333333333333</v>
      </c>
      <c r="E14" s="0" t="n">
        <f aca="false">D14*24</f>
        <v>8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933.333333333333</v>
      </c>
    </row>
    <row r="15" customFormat="false" ht="15" hidden="false" customHeight="false" outlineLevel="0" collapsed="false">
      <c r="A15" s="2" t="s">
        <v>17</v>
      </c>
      <c r="B15" s="3" t="n">
        <v>7.41666666666667</v>
      </c>
      <c r="C15" s="3" t="n">
        <v>7.75</v>
      </c>
      <c r="D15" s="4" t="n">
        <f aca="false">IF(C15&lt;B15,C15+1,C15)-B15</f>
        <v>0.333333333333333</v>
      </c>
      <c r="E15" s="0" t="n">
        <f aca="false">D15*24</f>
        <v>8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933.333333333333</v>
      </c>
    </row>
    <row r="16" customFormat="false" ht="15" hidden="false" customHeight="false" outlineLevel="0" collapsed="false">
      <c r="A16" s="0" t="n">
        <v>9</v>
      </c>
      <c r="B16" s="3" t="n">
        <v>8.41666666666667</v>
      </c>
      <c r="C16" s="3" t="n">
        <v>8.75</v>
      </c>
      <c r="D16" s="4" t="n">
        <f aca="false">IF(C16&lt;B16,C16+1,C16)-B16</f>
        <v>0.333333333333333</v>
      </c>
      <c r="E16" s="0" t="n">
        <f aca="false">D16*24</f>
        <v>8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933.333333333333</v>
      </c>
    </row>
    <row r="17" customFormat="false" ht="15" hidden="false" customHeight="false" outlineLevel="0" collapsed="false">
      <c r="A17" s="0" t="n">
        <v>10</v>
      </c>
      <c r="B17" s="3" t="n">
        <v>9.41666666666667</v>
      </c>
      <c r="C17" s="3" t="n">
        <v>9.75</v>
      </c>
      <c r="D17" s="4" t="n">
        <f aca="false">IF(C17&lt;B17,C17+1,C17)-B17</f>
        <v>0.333333333333333</v>
      </c>
      <c r="E17" s="0" t="n">
        <f aca="false">D17*24</f>
        <v>8</v>
      </c>
      <c r="F17" s="0" t="n">
        <f aca="false">IF(E17&gt;$B$3,E17-$B$3,0)</f>
        <v>0</v>
      </c>
      <c r="G17" s="0" t="n">
        <f aca="false">IF(E17&lt;$B$3,$B$3-E17,0)</f>
        <v>0</v>
      </c>
      <c r="H17" s="0" t="n">
        <f aca="false">$B$5*(E17/$B$3)</f>
        <v>933.333333333333</v>
      </c>
    </row>
    <row r="18" customFormat="false" ht="15" hidden="false" customHeight="false" outlineLevel="0" collapsed="false">
      <c r="A18" s="0" t="n">
        <v>11</v>
      </c>
      <c r="B18" s="3" t="n">
        <v>10.4166666666667</v>
      </c>
      <c r="C18" s="3" t="n">
        <v>10.75</v>
      </c>
      <c r="D18" s="4" t="n">
        <f aca="false">IF(C18&lt;B18,C18+1,C18)-B18</f>
        <v>0.333333333333333</v>
      </c>
      <c r="E18" s="0" t="n">
        <f aca="false">D18*24</f>
        <v>8</v>
      </c>
      <c r="F18" s="0" t="n">
        <f aca="false">IF(E18&gt;$B$3,E18-$B$3,0)</f>
        <v>0</v>
      </c>
      <c r="G18" s="0" t="n">
        <f aca="false">IF(E18&lt;$B$3,$B$3-E18,0)</f>
        <v>0</v>
      </c>
      <c r="H18" s="0" t="n">
        <f aca="false">$B$5*(E18/$B$3)</f>
        <v>933.333333333333</v>
      </c>
    </row>
    <row r="19" customFormat="false" ht="15" hidden="false" customHeight="false" outlineLevel="0" collapsed="false">
      <c r="A19" s="0" t="n">
        <v>12</v>
      </c>
      <c r="B19" s="3" t="n">
        <v>11.4166666666667</v>
      </c>
      <c r="C19" s="3" t="n">
        <v>11.75</v>
      </c>
      <c r="D19" s="4" t="n">
        <f aca="false">IF(C19&lt;B19,C19+1,C19)-B19</f>
        <v>0.333333333333333</v>
      </c>
      <c r="E19" s="0" t="n">
        <f aca="false">D19*24</f>
        <v>8</v>
      </c>
      <c r="F19" s="0" t="n">
        <f aca="false">IF(E19&gt;$B$3,E19-$B$3,0)</f>
        <v>0</v>
      </c>
      <c r="G19" s="0" t="n">
        <f aca="false">IF(E19&lt;$B$3,$B$3-E19,0)</f>
        <v>0</v>
      </c>
      <c r="H19" s="0" t="n">
        <f aca="false">$B$5*(E19/$B$3)</f>
        <v>933.333333333333</v>
      </c>
    </row>
    <row r="20" customFormat="false" ht="15" hidden="false" customHeight="false" outlineLevel="0" collapsed="false">
      <c r="A20" s="0" t="n">
        <v>13</v>
      </c>
      <c r="B20" s="3" t="n">
        <v>12.4166666666667</v>
      </c>
      <c r="C20" s="3" t="n">
        <v>12.75</v>
      </c>
      <c r="D20" s="4" t="n">
        <f aca="false">IF(C20&lt;B20,C20+1,C20)-B20</f>
        <v>0.333333333333333</v>
      </c>
      <c r="E20" s="0" t="n">
        <f aca="false">D20*24</f>
        <v>8</v>
      </c>
      <c r="F20" s="0" t="n">
        <f aca="false">IF(E20&gt;$B$3,E20-$B$3,0)</f>
        <v>0</v>
      </c>
      <c r="G20" s="0" t="n">
        <f aca="false">IF(E20&lt;$B$3,$B$3-E20,0)</f>
        <v>0</v>
      </c>
      <c r="H20" s="0" t="n">
        <f aca="false">$B$5*(E20/$B$3)</f>
        <v>933.333333333333</v>
      </c>
    </row>
    <row r="21" customFormat="false" ht="15" hidden="false" customHeight="false" outlineLevel="0" collapsed="false">
      <c r="A21" s="0" t="n">
        <v>14</v>
      </c>
      <c r="B21" s="3" t="n">
        <v>13.4166666666667</v>
      </c>
      <c r="C21" s="3" t="n">
        <v>13.75</v>
      </c>
      <c r="D21" s="4" t="n">
        <f aca="false">IF(C21&lt;B21,C21+1,C21)-B21</f>
        <v>0.333333333333333</v>
      </c>
      <c r="E21" s="0" t="n">
        <f aca="false">D21*24</f>
        <v>8</v>
      </c>
      <c r="F21" s="0" t="n">
        <f aca="false">IF(E21&gt;$B$3,E21-$B$3,0)</f>
        <v>0</v>
      </c>
      <c r="G21" s="0" t="n">
        <f aca="false">IF(E21&lt;$B$3,$B$3-E21,0)</f>
        <v>0</v>
      </c>
      <c r="H21" s="0" t="n">
        <f aca="false">$B$5*(E21/$B$3)</f>
        <v>933.333333333333</v>
      </c>
    </row>
    <row r="22" customFormat="false" ht="15" hidden="false" customHeight="false" outlineLevel="0" collapsed="false">
      <c r="A22" s="2" t="s">
        <v>18</v>
      </c>
      <c r="B22" s="3" t="n">
        <v>14.4166666666667</v>
      </c>
      <c r="C22" s="3" t="n">
        <v>14.75</v>
      </c>
      <c r="D22" s="4" t="n">
        <f aca="false">IF(C22&lt;B22,C22+1,C22)-B22</f>
        <v>0.333333333333333</v>
      </c>
      <c r="E22" s="0" t="n">
        <f aca="false">D22*24</f>
        <v>8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933.333333333333</v>
      </c>
    </row>
    <row r="23" customFormat="false" ht="15" hidden="false" customHeight="false" outlineLevel="0" collapsed="false">
      <c r="A23" s="0" t="n">
        <v>16</v>
      </c>
      <c r="B23" s="3" t="n">
        <v>15.4166666666667</v>
      </c>
      <c r="C23" s="3" t="n">
        <v>15.75</v>
      </c>
      <c r="D23" s="4" t="n">
        <f aca="false">IF(C23&lt;B23,C23+1,C23)-B23</f>
        <v>0.333333333333333</v>
      </c>
      <c r="E23" s="0" t="n">
        <f aca="false">D23*24</f>
        <v>8</v>
      </c>
      <c r="F23" s="0" t="n">
        <f aca="false">IF(E23&gt;$B$3,E23-$B$3,0)</f>
        <v>0</v>
      </c>
      <c r="G23" s="0" t="n">
        <f aca="false">IF(E23&lt;$B$3,$B$3-E23,0)</f>
        <v>0</v>
      </c>
      <c r="H23" s="0" t="n">
        <f aca="false">$B$5*(E23/$B$3)</f>
        <v>933.333333333333</v>
      </c>
    </row>
    <row r="24" customFormat="false" ht="15" hidden="false" customHeight="false" outlineLevel="0" collapsed="false">
      <c r="A24" s="0" t="n">
        <v>17</v>
      </c>
      <c r="B24" s="3" t="n">
        <v>16.4166666666667</v>
      </c>
      <c r="C24" s="3" t="n">
        <v>16.75</v>
      </c>
      <c r="D24" s="4" t="n">
        <f aca="false">IF(C24&lt;B24,C24+1,C24)-B24</f>
        <v>0.333333333333333</v>
      </c>
      <c r="E24" s="0" t="n">
        <f aca="false">D24*24</f>
        <v>8</v>
      </c>
      <c r="F24" s="0" t="n">
        <f aca="false">IF(E24&gt;$B$3,E24-$B$3,0)</f>
        <v>0</v>
      </c>
      <c r="G24" s="0" t="n">
        <f aca="false">IF(E24&lt;$B$3,$B$3-E24,0)</f>
        <v>0</v>
      </c>
      <c r="H24" s="0" t="n">
        <f aca="false">$B$5*(E24/$B$3)</f>
        <v>933.333333333333</v>
      </c>
    </row>
    <row r="25" customFormat="false" ht="15" hidden="false" customHeight="false" outlineLevel="0" collapsed="false">
      <c r="A25" s="0" t="n">
        <v>18</v>
      </c>
      <c r="B25" s="3" t="n">
        <v>17.4166666666667</v>
      </c>
      <c r="C25" s="3" t="n">
        <v>17.75</v>
      </c>
      <c r="D25" s="4" t="n">
        <f aca="false">IF(C25&lt;B25,C25+1,C25)-B25</f>
        <v>0.333333333333333</v>
      </c>
      <c r="E25" s="0" t="n">
        <f aca="false">D25*24</f>
        <v>8</v>
      </c>
      <c r="F25" s="0" t="n">
        <f aca="false">IF(E25&gt;$B$3,E25-$B$3,0)</f>
        <v>0</v>
      </c>
      <c r="G25" s="0" t="n">
        <f aca="false">IF(E25&lt;$B$3,$B$3-E25,0)</f>
        <v>0</v>
      </c>
      <c r="H25" s="0" t="n">
        <f aca="false">$B$5*(E25/$B$3)</f>
        <v>933.333333333333</v>
      </c>
    </row>
    <row r="26" customFormat="false" ht="15" hidden="false" customHeight="false" outlineLevel="0" collapsed="false">
      <c r="A26" s="0" t="n">
        <v>19</v>
      </c>
      <c r="B26" s="3" t="n">
        <v>18.4166666666667</v>
      </c>
      <c r="C26" s="3" t="n">
        <v>18.75</v>
      </c>
      <c r="D26" s="4" t="n">
        <f aca="false">IF(C26&lt;B26,C26+1,C26)-B26</f>
        <v>0.333333333333333</v>
      </c>
      <c r="E26" s="0" t="n">
        <f aca="false">D26*24</f>
        <v>8</v>
      </c>
      <c r="F26" s="0" t="n">
        <f aca="false">IF(E26&gt;$B$3,E26-$B$3,0)</f>
        <v>0</v>
      </c>
      <c r="G26" s="0" t="n">
        <f aca="false">IF(E26&lt;$B$3,$B$3-E26,0)</f>
        <v>0</v>
      </c>
      <c r="H26" s="0" t="n">
        <f aca="false">$B$5*(E26/$B$3)</f>
        <v>933.333333333333</v>
      </c>
    </row>
    <row r="27" customFormat="false" ht="15" hidden="false" customHeight="false" outlineLevel="0" collapsed="false">
      <c r="A27" s="0" t="n">
        <v>20</v>
      </c>
      <c r="B27" s="3" t="n">
        <v>19.4166666666667</v>
      </c>
      <c r="C27" s="3" t="n">
        <v>19.75</v>
      </c>
      <c r="D27" s="4" t="n">
        <f aca="false">IF(C27&lt;B27,C27+1,C27)-B27</f>
        <v>0.333333333333333</v>
      </c>
      <c r="E27" s="0" t="n">
        <f aca="false">D27*24</f>
        <v>8</v>
      </c>
      <c r="F27" s="0" t="n">
        <f aca="false">IF(E27&gt;$B$3,E27-$B$3,0)</f>
        <v>0</v>
      </c>
      <c r="G27" s="0" t="n">
        <f aca="false">IF(E27&lt;$B$3,$B$3-E27,0)</f>
        <v>0</v>
      </c>
      <c r="H27" s="0" t="n">
        <f aca="false">$B$5*(E27/$B$3)</f>
        <v>933.333333333333</v>
      </c>
    </row>
    <row r="28" customFormat="false" ht="15" hidden="false" customHeight="false" outlineLevel="0" collapsed="false">
      <c r="A28" s="0" t="n">
        <v>21</v>
      </c>
      <c r="B28" s="3" t="n">
        <v>20.4166666666667</v>
      </c>
      <c r="C28" s="3" t="n">
        <v>20.75</v>
      </c>
      <c r="D28" s="4" t="n">
        <f aca="false">IF(C28&lt;B28,C28+1,C28)-B28</f>
        <v>0.333333333333333</v>
      </c>
      <c r="E28" s="0" t="n">
        <f aca="false">D28*24</f>
        <v>8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933.333333333333</v>
      </c>
    </row>
    <row r="29" customFormat="false" ht="15" hidden="false" customHeight="false" outlineLevel="0" collapsed="false">
      <c r="A29" s="2" t="s">
        <v>20</v>
      </c>
      <c r="B29" s="3" t="n">
        <v>21.4166666666667</v>
      </c>
      <c r="C29" s="3" t="n">
        <v>21.75</v>
      </c>
      <c r="D29" s="4" t="n">
        <f aca="false">IF(C29&lt;B29,C29+1,C29)-B29</f>
        <v>0.333333333333333</v>
      </c>
      <c r="E29" s="0" t="n">
        <f aca="false">D29*24</f>
        <v>8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933.333333333333</v>
      </c>
    </row>
    <row r="30" customFormat="false" ht="15" hidden="false" customHeight="false" outlineLevel="0" collapsed="false">
      <c r="A30" s="0" t="n">
        <v>23</v>
      </c>
      <c r="B30" s="3" t="n">
        <v>0.415277777777778</v>
      </c>
      <c r="C30" s="3" t="n">
        <v>0.717361111111111</v>
      </c>
      <c r="D30" s="4" t="n">
        <f aca="false">IF(C30&lt;B30,C30+1,C30)-B30</f>
        <v>0.302083333333333</v>
      </c>
      <c r="E30" s="0" t="n">
        <f aca="false">D30*24</f>
        <v>7.25</v>
      </c>
      <c r="F30" s="0" t="n">
        <f aca="false">IF(E30&gt;$B$3,E30-$B$3,0)</f>
        <v>0</v>
      </c>
      <c r="G30" s="0" t="n">
        <f aca="false">IF(E30&lt;$B$3,$B$3-E30,0)</f>
        <v>0.75</v>
      </c>
      <c r="H30" s="0" t="n">
        <f aca="false">$B$5*(E30/$B$3)</f>
        <v>845.833333333333</v>
      </c>
    </row>
    <row r="31" customFormat="false" ht="15" hidden="false" customHeight="false" outlineLevel="0" collapsed="false">
      <c r="A31" s="0" t="n">
        <v>24</v>
      </c>
      <c r="B31" s="3" t="n">
        <v>0.38125</v>
      </c>
      <c r="C31" s="3" t="n">
        <v>0.765277777777778</v>
      </c>
      <c r="D31" s="4" t="n">
        <f aca="false">IF(C31&lt;B31,C31+1,C31)-B31</f>
        <v>0.384027777777778</v>
      </c>
      <c r="E31" s="0" t="n">
        <f aca="false">D31*24</f>
        <v>9.21666666666667</v>
      </c>
      <c r="F31" s="0" t="n">
        <f aca="false">IF(E31&gt;$B$3,E31-$B$3,0)</f>
        <v>1.21666666666667</v>
      </c>
      <c r="G31" s="0" t="n">
        <f aca="false">IF(E31&lt;$B$3,$B$3-E31,0)</f>
        <v>0</v>
      </c>
      <c r="H31" s="0" t="n">
        <f aca="false">$B$5*(E31/$B$3)</f>
        <v>1075.27777777778</v>
      </c>
    </row>
    <row r="32" customFormat="false" ht="15" hidden="false" customHeight="false" outlineLevel="0" collapsed="false">
      <c r="A32" s="2" t="n">
        <v>25</v>
      </c>
      <c r="B32" s="3" t="n">
        <v>0.411805555555556</v>
      </c>
      <c r="C32" s="3" t="n">
        <v>0.759722222222222</v>
      </c>
      <c r="D32" s="4" t="n">
        <f aca="false">IF(C32&lt;B32,C32+1,C32)-B32</f>
        <v>0.347916666666667</v>
      </c>
      <c r="E32" s="0" t="n">
        <f aca="false">D32*24</f>
        <v>8.35</v>
      </c>
      <c r="F32" s="0" t="n">
        <f aca="false">IF(E32&gt;$B$3,E32-$B$3,0)</f>
        <v>0.35</v>
      </c>
      <c r="G32" s="0" t="n">
        <f aca="false">IF(E32&lt;$B$3,$B$3-E32,0)</f>
        <v>0</v>
      </c>
      <c r="H32" s="0" t="n">
        <f aca="false">$B$5*(E32/$B$3)</f>
        <v>974.166666666667</v>
      </c>
    </row>
    <row r="33" customFormat="false" ht="15" hidden="false" customHeight="false" outlineLevel="0" collapsed="false">
      <c r="A33" s="0" t="n">
        <v>26</v>
      </c>
      <c r="B33" s="3" t="n">
        <v>20.4166666666667</v>
      </c>
      <c r="C33" s="3" t="n">
        <v>20.75</v>
      </c>
      <c r="D33" s="4" t="n">
        <f aca="false">IF(C33&lt;B33,C33+1,C33)-B33</f>
        <v>0.333333333333333</v>
      </c>
      <c r="E33" s="0" t="n">
        <f aca="false">D33*24</f>
        <v>8</v>
      </c>
      <c r="F33" s="0" t="n">
        <f aca="false">IF(E33&gt;$B$3,E33-$B$3,0)</f>
        <v>0</v>
      </c>
      <c r="G33" s="0" t="n">
        <f aca="false">IF(E33&lt;$B$3,$B$3-E33,0)</f>
        <v>0</v>
      </c>
      <c r="H33" s="0" t="n">
        <f aca="false">$B$5*(E33/$B$3)</f>
        <v>933.333333333333</v>
      </c>
    </row>
    <row r="34" customFormat="false" ht="15" hidden="false" customHeight="false" outlineLevel="0" collapsed="false">
      <c r="A34" s="0" t="n">
        <v>27</v>
      </c>
      <c r="B34" s="3" t="n">
        <v>0.404861111111111</v>
      </c>
      <c r="C34" s="3" t="n">
        <v>0.759027777777778</v>
      </c>
      <c r="D34" s="4" t="n">
        <f aca="false">IF(C34&lt;B34,C34+1,C34)-B34</f>
        <v>0.354166666666667</v>
      </c>
      <c r="E34" s="0" t="n">
        <f aca="false">D34*24</f>
        <v>8.5</v>
      </c>
      <c r="F34" s="0" t="n">
        <f aca="false">IF(E34&gt;$B$3,E34-$B$3,0)</f>
        <v>0.5</v>
      </c>
      <c r="G34" s="0" t="n">
        <f aca="false">IF(E34&lt;$B$3,$B$3-E34,0)</f>
        <v>0</v>
      </c>
      <c r="H34" s="0" t="n">
        <f aca="false">$B$5*(E34/$B$3)</f>
        <v>991.666666666667</v>
      </c>
    </row>
    <row r="35" customFormat="false" ht="15" hidden="false" customHeight="false" outlineLevel="0" collapsed="false">
      <c r="A35" s="0" t="n">
        <v>28</v>
      </c>
      <c r="B35" s="3" t="n">
        <v>0.4125</v>
      </c>
      <c r="C35" s="3" t="n">
        <v>0.752777777777778</v>
      </c>
      <c r="D35" s="4" t="n">
        <f aca="false">IF(C35&lt;B35,C35+1,C35)-B35</f>
        <v>0.340277777777778</v>
      </c>
      <c r="E35" s="0" t="n">
        <f aca="false">D35*24</f>
        <v>8.16666666666667</v>
      </c>
      <c r="F35" s="0" t="n">
        <f aca="false">IF(E35&gt;$B$3,E35-$B$3,0)</f>
        <v>0.166666666666668</v>
      </c>
      <c r="G35" s="0" t="n">
        <f aca="false">IF(E35&lt;$B$3,$B$3-E35,0)</f>
        <v>0</v>
      </c>
      <c r="H35" s="0" t="n">
        <f aca="false">$B$5*(E35/$B$3)</f>
        <v>952.777777777778</v>
      </c>
    </row>
    <row r="36" customFormat="false" ht="15" hidden="false" customHeight="false" outlineLevel="0" collapsed="false">
      <c r="A36" s="2" t="s">
        <v>21</v>
      </c>
      <c r="B36" s="3" t="n">
        <v>0.416666666666667</v>
      </c>
      <c r="C36" s="3" t="n">
        <v>0.75</v>
      </c>
      <c r="D36" s="4" t="n">
        <f aca="false">IF(C36&lt;B36,C36+1,C36)-B36</f>
        <v>0.333333333333333</v>
      </c>
      <c r="E36" s="0" t="n">
        <f aca="false">D36*24</f>
        <v>8</v>
      </c>
      <c r="F36" s="0" t="n">
        <f aca="false">IF(E36&gt;$B$3,E36-$B$3,0)</f>
        <v>0</v>
      </c>
      <c r="G36" s="0" t="n">
        <f aca="false">IF(E36&lt;$B$3,$B$3-E36,0)</f>
        <v>0</v>
      </c>
      <c r="H36" s="0" t="n">
        <f aca="false">$B$5*(E36/$B$3)</f>
        <v>933.333333333333</v>
      </c>
    </row>
    <row r="37" customFormat="false" ht="15" hidden="false" customHeight="false" outlineLevel="0" collapsed="false">
      <c r="A37" s="0" t="n">
        <v>30</v>
      </c>
      <c r="B37" s="3" t="n">
        <v>0.416666666666667</v>
      </c>
      <c r="C37" s="3" t="n">
        <v>0.75</v>
      </c>
      <c r="D37" s="4" t="n">
        <f aca="false">IF(C37&lt;B37,C37+1,C37)-B37</f>
        <v>0.333333333333333</v>
      </c>
      <c r="E37" s="0" t="n">
        <f aca="false">D37*24</f>
        <v>8</v>
      </c>
      <c r="F37" s="0" t="n">
        <f aca="false">IF(E37&gt;$B$3,E37-$B$3,0)</f>
        <v>0</v>
      </c>
      <c r="G37" s="0" t="n">
        <f aca="false">IF(E37&lt;$B$3,$B$3-E37,0)</f>
        <v>0</v>
      </c>
      <c r="H37" s="0" t="n">
        <f aca="false">$B$5*(E37/$B$3)</f>
        <v>933.333333333333</v>
      </c>
    </row>
    <row r="38" customFormat="false" ht="15" hidden="false" customHeight="false" outlineLevel="0" collapsed="false">
      <c r="A38" s="2" t="s">
        <v>41</v>
      </c>
      <c r="B38" s="3" t="n">
        <v>0.416666666666667</v>
      </c>
      <c r="C38" s="3" t="n">
        <v>0.761805555555555</v>
      </c>
      <c r="D38" s="4" t="n">
        <f aca="false">IF(C38&lt;B38,C38+1,C38)-B38</f>
        <v>0.345138888888889</v>
      </c>
      <c r="E38" s="0" t="n">
        <f aca="false">D38*24</f>
        <v>8.28333333333333</v>
      </c>
      <c r="F38" s="0" t="n">
        <f aca="false">IF(E38&gt;$B$3,E38-$B$3,0)</f>
        <v>0.283333333333333</v>
      </c>
      <c r="G38" s="0" t="n">
        <f aca="false">IF(E38&lt;$B$3,$B$3-E38,0)</f>
        <v>0</v>
      </c>
      <c r="H38" s="0" t="n">
        <f aca="false">$B$5*(E38/$B$3)</f>
        <v>966.388888888889</v>
      </c>
    </row>
    <row r="39" customFormat="false" ht="15" hidden="false" customHeight="false" outlineLevel="0" collapsed="false">
      <c r="A39" s="2" t="s">
        <v>42</v>
      </c>
      <c r="B39" s="3" t="n">
        <v>0.416666666666667</v>
      </c>
      <c r="C39" s="3" t="n">
        <v>0.75</v>
      </c>
      <c r="D39" s="4" t="n">
        <f aca="false">IF(C39&lt;B39,C39+1,C39)-B39</f>
        <v>0.333333333333333</v>
      </c>
      <c r="E39" s="0" t="n">
        <f aca="false">D39*24</f>
        <v>8</v>
      </c>
      <c r="F39" s="0" t="n">
        <f aca="false">IF(E39&gt;$B$3,E39-$B$3,0)</f>
        <v>0</v>
      </c>
      <c r="G39" s="0" t="n">
        <f aca="false">IF(E39&lt;$B$3,$B$3-E39,0)</f>
        <v>0</v>
      </c>
      <c r="H39" s="0" t="n">
        <f aca="false">$B$5*(E39/$B$3)</f>
        <v>933.333333333333</v>
      </c>
    </row>
    <row r="40" customFormat="false" ht="15" hidden="false" customHeight="false" outlineLevel="0" collapsed="false">
      <c r="A40" s="6" t="s">
        <v>23</v>
      </c>
      <c r="F40" s="0" t="n">
        <f aca="false">SUM(F8:F38)</f>
        <v>2.51666666666664</v>
      </c>
      <c r="G40" s="0" t="n">
        <f aca="false">SUM(G8:G38)</f>
        <v>0.750000000011053</v>
      </c>
      <c r="H40" s="0" t="n">
        <f aca="false">SUM(H8:H38)</f>
        <v>29139.4444444432</v>
      </c>
    </row>
    <row r="42" customFormat="false" ht="15" hidden="false" customHeight="false" outlineLevel="0" collapsed="false">
      <c r="A42" s="6" t="s">
        <v>24</v>
      </c>
      <c r="B42" s="5" t="n">
        <f aca="false">H40-200</f>
        <v>28939.4444444432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2" activeCellId="0" sqref="D2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9.29"/>
    <col collapsed="false" customWidth="true" hidden="false" outlineLevel="0" max="2" min="2" style="0" width="25.29"/>
    <col collapsed="false" customWidth="true" hidden="false" outlineLevel="0" max="3" min="3" style="0" width="17.71"/>
    <col collapsed="false" customWidth="true" hidden="false" outlineLevel="0" max="4" min="4" style="0" width="15.42"/>
    <col collapsed="false" customWidth="true" hidden="false" outlineLevel="0" max="5" min="5" style="0" width="15"/>
    <col collapsed="false" customWidth="true" hidden="false" outlineLevel="0" max="6" min="6" style="0" width="15.29"/>
    <col collapsed="false" customWidth="true" hidden="false" outlineLevel="0" max="7" min="7" style="0" width="16.14"/>
    <col collapsed="false" customWidth="true" hidden="false" outlineLevel="0" max="8" min="8" style="0" width="21.57"/>
  </cols>
  <sheetData>
    <row r="1" customFormat="false" ht="15" hidden="false" customHeight="false" outlineLevel="0" collapsed="false">
      <c r="A1" s="0" t="s">
        <v>0</v>
      </c>
      <c r="B1" s="0" t="s">
        <v>43</v>
      </c>
    </row>
    <row r="2" customFormat="false" ht="15" hidden="false" customHeight="false" outlineLevel="0" collapsed="false">
      <c r="A2" s="0" t="s">
        <v>2</v>
      </c>
      <c r="B2" s="0" t="n">
        <v>18700</v>
      </c>
    </row>
    <row r="3" customFormat="false" ht="15" hidden="false" customHeight="false" outlineLevel="0" collapsed="false">
      <c r="A3" s="0" t="s">
        <v>3</v>
      </c>
      <c r="B3" s="0" t="n">
        <v>8.5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623.333333333333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0.520833333333333</v>
      </c>
      <c r="C8" s="3" t="n">
        <v>0.875</v>
      </c>
      <c r="D8" s="4" t="n">
        <f aca="false">IF(C8&lt;B8,C8+1,C8)-B8</f>
        <v>0.354166666666667</v>
      </c>
      <c r="E8" s="0" t="n">
        <f aca="false">D8*24</f>
        <v>8.5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623.333333333333</v>
      </c>
    </row>
    <row r="9" customFormat="false" ht="15" hidden="false" customHeight="false" outlineLevel="0" collapsed="false">
      <c r="A9" s="0" t="n">
        <v>2</v>
      </c>
      <c r="B9" s="3" t="n">
        <v>1.52083333333333</v>
      </c>
      <c r="C9" s="3" t="n">
        <v>1.875</v>
      </c>
      <c r="D9" s="4" t="n">
        <f aca="false">IF(C9&lt;B9,C9+1,C9)-B9</f>
        <v>0.354166666666667</v>
      </c>
      <c r="E9" s="0" t="n">
        <f aca="false">D9*24</f>
        <v>8.5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623.333333333333</v>
      </c>
    </row>
    <row r="10" customFormat="false" ht="15" hidden="false" customHeight="false" outlineLevel="0" collapsed="false">
      <c r="A10" s="2" t="s">
        <v>40</v>
      </c>
      <c r="B10" s="3" t="n">
        <v>2.52083333333333</v>
      </c>
      <c r="C10" s="3" t="n">
        <v>2.875</v>
      </c>
      <c r="D10" s="4" t="n">
        <f aca="false">IF(C10&lt;B10,C10+1,C10)-B10</f>
        <v>0.354166666666667</v>
      </c>
      <c r="E10" s="0" t="n">
        <f aca="false">D10*24</f>
        <v>8.5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623.333333333333</v>
      </c>
    </row>
    <row r="11" customFormat="false" ht="15" hidden="false" customHeight="false" outlineLevel="0" collapsed="false">
      <c r="A11" s="0" t="n">
        <v>4</v>
      </c>
      <c r="B11" s="3" t="n">
        <v>3.52083333333333</v>
      </c>
      <c r="C11" s="3" t="n">
        <v>3.875</v>
      </c>
      <c r="D11" s="4" t="n">
        <f aca="false">IF(C11&lt;B11,C11+1,C11)-B11</f>
        <v>0.354166666666667</v>
      </c>
      <c r="E11" s="0" t="n">
        <f aca="false">D11*24</f>
        <v>8.5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623.333333333333</v>
      </c>
    </row>
    <row r="12" customFormat="false" ht="15" hidden="false" customHeight="false" outlineLevel="0" collapsed="false">
      <c r="A12" s="0" t="n">
        <v>5</v>
      </c>
      <c r="B12" s="3" t="n">
        <v>4.52083333333333</v>
      </c>
      <c r="C12" s="3" t="n">
        <v>4.875</v>
      </c>
      <c r="D12" s="4" t="n">
        <f aca="false">IF(C12&lt;B12,C12+1,C12)-B12</f>
        <v>0.354166666666667</v>
      </c>
      <c r="E12" s="0" t="n">
        <f aca="false">D12*24</f>
        <v>8.5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623.333333333333</v>
      </c>
    </row>
    <row r="13" customFormat="false" ht="15" hidden="false" customHeight="false" outlineLevel="0" collapsed="false">
      <c r="A13" s="0" t="n">
        <v>6</v>
      </c>
      <c r="B13" s="3" t="n">
        <v>5.52083333333333</v>
      </c>
      <c r="C13" s="3" t="n">
        <v>5.875</v>
      </c>
      <c r="D13" s="4" t="n">
        <f aca="false">IF(C13&lt;B13,C13+1,C13)-B13</f>
        <v>0.354166666666667</v>
      </c>
      <c r="E13" s="0" t="n">
        <f aca="false">D13*24</f>
        <v>8.5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623.333333333333</v>
      </c>
    </row>
    <row r="14" customFormat="false" ht="15" hidden="false" customHeight="false" outlineLevel="0" collapsed="false">
      <c r="A14" s="0" t="n">
        <v>7</v>
      </c>
      <c r="B14" s="3" t="n">
        <v>6.52083333333333</v>
      </c>
      <c r="C14" s="3" t="n">
        <v>6.875</v>
      </c>
      <c r="D14" s="4" t="n">
        <f aca="false">IF(C14&lt;B14,C14+1,C14)-B14</f>
        <v>0.354166666666667</v>
      </c>
      <c r="E14" s="0" t="n">
        <f aca="false">D14*24</f>
        <v>8.5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623.333333333333</v>
      </c>
    </row>
    <row r="15" customFormat="false" ht="15" hidden="false" customHeight="false" outlineLevel="0" collapsed="false">
      <c r="A15" s="2" t="s">
        <v>17</v>
      </c>
      <c r="B15" s="3" t="n">
        <v>7.52083333333333</v>
      </c>
      <c r="C15" s="3" t="n">
        <v>7.875</v>
      </c>
      <c r="D15" s="4" t="n">
        <f aca="false">IF(C15&lt;B15,C15+1,C15)-B15</f>
        <v>0.354166666666667</v>
      </c>
      <c r="E15" s="0" t="n">
        <f aca="false">D15*24</f>
        <v>8.5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623.333333333333</v>
      </c>
    </row>
    <row r="16" customFormat="false" ht="15" hidden="false" customHeight="false" outlineLevel="0" collapsed="false">
      <c r="A16" s="0" t="n">
        <v>9</v>
      </c>
      <c r="B16" s="3" t="n">
        <v>8.52083333333333</v>
      </c>
      <c r="C16" s="3" t="n">
        <v>8.875</v>
      </c>
      <c r="D16" s="4" t="n">
        <f aca="false">IF(C16&lt;B16,C16+1,C16)-B16</f>
        <v>0.354166666666667</v>
      </c>
      <c r="E16" s="0" t="n">
        <f aca="false">D16*24</f>
        <v>8.5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623.333333333333</v>
      </c>
    </row>
    <row r="17" customFormat="false" ht="15" hidden="false" customHeight="false" outlineLevel="0" collapsed="false">
      <c r="A17" s="0" t="n">
        <v>10</v>
      </c>
      <c r="B17" s="3" t="n">
        <v>9.52083333333333</v>
      </c>
      <c r="C17" s="3" t="n">
        <v>9.875</v>
      </c>
      <c r="D17" s="4" t="n">
        <f aca="false">IF(C17&lt;B17,C17+1,C17)-B17</f>
        <v>0.354166666666667</v>
      </c>
      <c r="E17" s="0" t="n">
        <f aca="false">D17*24</f>
        <v>8.5</v>
      </c>
      <c r="F17" s="0" t="n">
        <f aca="false">IF(E17&gt;$B$3,E17-$B$3,0)</f>
        <v>0</v>
      </c>
      <c r="G17" s="0" t="n">
        <f aca="false">IF(E17&lt;$B$3,$B$3-E17,0)</f>
        <v>0</v>
      </c>
      <c r="H17" s="0" t="n">
        <f aca="false">$B$5*(E17/$B$3)</f>
        <v>623.333333333333</v>
      </c>
    </row>
    <row r="18" customFormat="false" ht="15" hidden="false" customHeight="false" outlineLevel="0" collapsed="false">
      <c r="A18" s="0" t="n">
        <v>11</v>
      </c>
      <c r="B18" s="3" t="n">
        <v>10.5208333333333</v>
      </c>
      <c r="C18" s="3" t="n">
        <v>10.875</v>
      </c>
      <c r="D18" s="4" t="n">
        <f aca="false">IF(C18&lt;B18,C18+1,C18)-B18</f>
        <v>0.354166666666667</v>
      </c>
      <c r="E18" s="0" t="n">
        <f aca="false">D18*24</f>
        <v>8.5</v>
      </c>
      <c r="F18" s="0" t="n">
        <f aca="false">IF(E18&gt;$B$3,E18-$B$3,0)</f>
        <v>0</v>
      </c>
      <c r="G18" s="0" t="n">
        <f aca="false">IF(E18&lt;$B$3,$B$3-E18,0)</f>
        <v>0</v>
      </c>
      <c r="H18" s="0" t="n">
        <f aca="false">$B$5*(E18/$B$3)</f>
        <v>623.333333333333</v>
      </c>
    </row>
    <row r="19" customFormat="false" ht="15" hidden="false" customHeight="false" outlineLevel="0" collapsed="false">
      <c r="A19" s="0" t="n">
        <v>12</v>
      </c>
      <c r="B19" s="3" t="n">
        <v>11.5208333333333</v>
      </c>
      <c r="C19" s="3" t="n">
        <v>11.875</v>
      </c>
      <c r="D19" s="4" t="n">
        <f aca="false">IF(C19&lt;B19,C19+1,C19)-B19</f>
        <v>0.354166666666667</v>
      </c>
      <c r="E19" s="0" t="n">
        <f aca="false">D19*24</f>
        <v>8.5</v>
      </c>
      <c r="F19" s="0" t="n">
        <f aca="false">IF(E19&gt;$B$3,E19-$B$3,0)</f>
        <v>0</v>
      </c>
      <c r="G19" s="0" t="n">
        <f aca="false">IF(E19&lt;$B$3,$B$3-E19,0)</f>
        <v>0</v>
      </c>
      <c r="H19" s="0" t="n">
        <f aca="false">$B$5*(E19/$B$3)</f>
        <v>623.333333333333</v>
      </c>
    </row>
    <row r="20" customFormat="false" ht="15" hidden="false" customHeight="false" outlineLevel="0" collapsed="false">
      <c r="A20" s="0" t="n">
        <v>13</v>
      </c>
      <c r="B20" s="3" t="n">
        <v>12.5208333333333</v>
      </c>
      <c r="C20" s="3" t="n">
        <v>12.875</v>
      </c>
      <c r="D20" s="4" t="n">
        <f aca="false">IF(C20&lt;B20,C20+1,C20)-B20</f>
        <v>0.354166666666667</v>
      </c>
      <c r="E20" s="0" t="n">
        <f aca="false">D20*24</f>
        <v>8.5</v>
      </c>
      <c r="F20" s="0" t="n">
        <f aca="false">IF(E20&gt;$B$3,E20-$B$3,0)</f>
        <v>0</v>
      </c>
      <c r="G20" s="0" t="n">
        <f aca="false">IF(E20&lt;$B$3,$B$3-E20,0)</f>
        <v>0</v>
      </c>
      <c r="H20" s="0" t="n">
        <f aca="false">$B$5*(E20/$B$3)</f>
        <v>623.333333333333</v>
      </c>
    </row>
    <row r="21" customFormat="false" ht="15" hidden="false" customHeight="false" outlineLevel="0" collapsed="false">
      <c r="A21" s="0" t="n">
        <v>14</v>
      </c>
      <c r="B21" s="3" t="n">
        <v>13.5208333333333</v>
      </c>
      <c r="C21" s="3" t="n">
        <v>13.875</v>
      </c>
      <c r="D21" s="4" t="n">
        <f aca="false">IF(C21&lt;B21,C21+1,C21)-B21</f>
        <v>0.354166666666667</v>
      </c>
      <c r="E21" s="0" t="n">
        <f aca="false">D21*24</f>
        <v>8.5</v>
      </c>
      <c r="F21" s="0" t="n">
        <f aca="false">IF(E21&gt;$B$3,E21-$B$3,0)</f>
        <v>0</v>
      </c>
      <c r="G21" s="0" t="n">
        <f aca="false">IF(E21&lt;$B$3,$B$3-E21,0)</f>
        <v>0</v>
      </c>
      <c r="H21" s="0" t="n">
        <f aca="false">$B$5*(E21/$B$3)</f>
        <v>623.333333333333</v>
      </c>
    </row>
    <row r="22" customFormat="false" ht="15" hidden="false" customHeight="false" outlineLevel="0" collapsed="false">
      <c r="A22" s="2" t="s">
        <v>18</v>
      </c>
      <c r="B22" s="3" t="n">
        <v>14.5208333333333</v>
      </c>
      <c r="C22" s="3" t="n">
        <v>14.875</v>
      </c>
      <c r="D22" s="4" t="n">
        <f aca="false">IF(C22&lt;B22,C22+1,C22)-B22</f>
        <v>0.354166666666667</v>
      </c>
      <c r="E22" s="0" t="n">
        <f aca="false">D22*24</f>
        <v>8.5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623.333333333333</v>
      </c>
    </row>
    <row r="23" customFormat="false" ht="15" hidden="false" customHeight="false" outlineLevel="0" collapsed="false">
      <c r="A23" s="0" t="n">
        <v>16</v>
      </c>
      <c r="B23" s="3" t="n">
        <v>15.5208333333333</v>
      </c>
      <c r="C23" s="3" t="n">
        <v>15.875</v>
      </c>
      <c r="D23" s="4" t="n">
        <f aca="false">IF(C23&lt;B23,C23+1,C23)-B23</f>
        <v>0.354166666666667</v>
      </c>
      <c r="E23" s="0" t="n">
        <f aca="false">D23*24</f>
        <v>8.5</v>
      </c>
      <c r="F23" s="0" t="n">
        <f aca="false">IF(E23&gt;$B$3,E23-$B$3,0)</f>
        <v>0</v>
      </c>
      <c r="G23" s="0" t="n">
        <f aca="false">IF(E23&lt;$B$3,$B$3-E23,0)</f>
        <v>0</v>
      </c>
      <c r="H23" s="0" t="n">
        <f aca="false">$B$5*(E23/$B$3)</f>
        <v>623.333333333333</v>
      </c>
    </row>
    <row r="24" customFormat="false" ht="15" hidden="false" customHeight="false" outlineLevel="0" collapsed="false">
      <c r="A24" s="0" t="n">
        <v>17</v>
      </c>
      <c r="B24" s="3" t="n">
        <v>16.5208333333333</v>
      </c>
      <c r="C24" s="3" t="n">
        <v>16.875</v>
      </c>
      <c r="D24" s="4" t="n">
        <f aca="false">IF(C24&lt;B24,C24+1,C24)-B24</f>
        <v>0.354166666666667</v>
      </c>
      <c r="E24" s="0" t="n">
        <f aca="false">D24*24</f>
        <v>8.5</v>
      </c>
      <c r="F24" s="0" t="n">
        <f aca="false">IF(E24&gt;$B$3,E24-$B$3,0)</f>
        <v>0</v>
      </c>
      <c r="G24" s="0" t="n">
        <f aca="false">IF(E24&lt;$B$3,$B$3-E24,0)</f>
        <v>0</v>
      </c>
      <c r="H24" s="0" t="n">
        <f aca="false">$B$5*(E24/$B$3)</f>
        <v>623.333333333333</v>
      </c>
    </row>
    <row r="25" customFormat="false" ht="15" hidden="false" customHeight="false" outlineLevel="0" collapsed="false">
      <c r="A25" s="0" t="n">
        <v>18</v>
      </c>
      <c r="B25" s="3" t="n">
        <v>17.5208333333333</v>
      </c>
      <c r="C25" s="3" t="n">
        <v>17.875</v>
      </c>
      <c r="D25" s="4" t="n">
        <f aca="false">IF(C25&lt;B25,C25+1,C25)-B25</f>
        <v>0.354166666666667</v>
      </c>
      <c r="E25" s="0" t="n">
        <f aca="false">D25*24</f>
        <v>8.5</v>
      </c>
      <c r="F25" s="0" t="n">
        <f aca="false">IF(E25&gt;$B$3,E25-$B$3,0)</f>
        <v>0</v>
      </c>
      <c r="G25" s="0" t="n">
        <f aca="false">IF(E25&lt;$B$3,$B$3-E25,0)</f>
        <v>0</v>
      </c>
      <c r="H25" s="0" t="n">
        <f aca="false">$B$5*(E25/$B$3)</f>
        <v>623.333333333333</v>
      </c>
    </row>
    <row r="26" customFormat="false" ht="15" hidden="false" customHeight="false" outlineLevel="0" collapsed="false">
      <c r="A26" s="2" t="s">
        <v>44</v>
      </c>
      <c r="B26" s="3" t="n">
        <v>18.5208333333333</v>
      </c>
      <c r="C26" s="3" t="n">
        <v>18.875</v>
      </c>
      <c r="D26" s="4" t="n">
        <f aca="false">IF(C26&lt;B26,C26+1,C26)-B26</f>
        <v>0.354166666666667</v>
      </c>
      <c r="E26" s="0" t="n">
        <f aca="false">D26*24</f>
        <v>8.5</v>
      </c>
      <c r="F26" s="0" t="n">
        <f aca="false">IF(E26&gt;$B$3,E26-$B$3,0)</f>
        <v>0</v>
      </c>
      <c r="G26" s="0" t="n">
        <f aca="false">IF(E26&lt;$B$3,$B$3-E26,0)</f>
        <v>0</v>
      </c>
      <c r="H26" s="0" t="n">
        <f aca="false">$B$5*(E26/$B$3)</f>
        <v>623.333333333333</v>
      </c>
    </row>
    <row r="27" customFormat="false" ht="15" hidden="false" customHeight="false" outlineLevel="0" collapsed="false">
      <c r="A27" s="2" t="s">
        <v>45</v>
      </c>
      <c r="B27" s="3" t="n">
        <v>19.5208333333333</v>
      </c>
      <c r="C27" s="3" t="n">
        <v>19.875</v>
      </c>
      <c r="D27" s="4" t="n">
        <f aca="false">IF(C27&lt;B27,C27+1,C27)-B27</f>
        <v>0.354166666666667</v>
      </c>
      <c r="E27" s="0" t="n">
        <f aca="false">D27*24</f>
        <v>8.5</v>
      </c>
      <c r="F27" s="0" t="n">
        <f aca="false">IF(E27&gt;$B$3,E27-$B$3,0)</f>
        <v>0</v>
      </c>
      <c r="G27" s="0" t="n">
        <f aca="false">IF(E27&lt;$B$3,$B$3-E27,0)</f>
        <v>0</v>
      </c>
      <c r="H27" s="0" t="n">
        <f aca="false">$B$5*(E27/$B$3)</f>
        <v>623.333333333333</v>
      </c>
    </row>
    <row r="28" customFormat="false" ht="15" hidden="false" customHeight="false" outlineLevel="0" collapsed="false">
      <c r="A28" s="2" t="s">
        <v>19</v>
      </c>
      <c r="B28" s="3" t="n">
        <v>20.5208333333333</v>
      </c>
      <c r="C28" s="3" t="n">
        <v>20.875</v>
      </c>
      <c r="D28" s="4" t="n">
        <f aca="false">IF(C28&lt;B28,C28+1,C28)-B28</f>
        <v>0.354166666666667</v>
      </c>
      <c r="E28" s="0" t="n">
        <f aca="false">D28*24</f>
        <v>8.5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623.333333333333</v>
      </c>
    </row>
    <row r="29" customFormat="false" ht="15" hidden="false" customHeight="false" outlineLevel="0" collapsed="false">
      <c r="A29" s="2" t="s">
        <v>20</v>
      </c>
      <c r="B29" s="3" t="n">
        <v>21.5208333333333</v>
      </c>
      <c r="C29" s="3" t="n">
        <v>21.875</v>
      </c>
      <c r="D29" s="4" t="n">
        <f aca="false">IF(C29&lt;B29,C29+1,C29)-B29</f>
        <v>0.354166666666667</v>
      </c>
      <c r="E29" s="0" t="n">
        <f aca="false">D29*24</f>
        <v>8.5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623.333333333333</v>
      </c>
    </row>
    <row r="30" customFormat="false" ht="15" hidden="false" customHeight="false" outlineLevel="0" collapsed="false">
      <c r="A30" s="0" t="n">
        <v>23</v>
      </c>
      <c r="B30" s="3" t="n">
        <v>0.520833333333333</v>
      </c>
      <c r="C30" s="3" t="n">
        <v>0.885416666666667</v>
      </c>
      <c r="D30" s="4" t="n">
        <f aca="false">IF(C30&lt;B30,C30+1,C30)-B30</f>
        <v>0.364583333333333</v>
      </c>
      <c r="E30" s="0" t="n">
        <f aca="false">D30*24</f>
        <v>8.75</v>
      </c>
      <c r="F30" s="0" t="n">
        <f aca="false">IF(E30&gt;$B$3,E30-$B$3,0)</f>
        <v>0.25</v>
      </c>
      <c r="G30" s="0" t="n">
        <f aca="false">IF(E30&lt;$B$3,$B$3-E30,0)</f>
        <v>0</v>
      </c>
      <c r="H30" s="0" t="n">
        <f aca="false">$B$5*(E30/$B$3)</f>
        <v>641.666666666667</v>
      </c>
    </row>
    <row r="31" customFormat="false" ht="15" hidden="false" customHeight="false" outlineLevel="0" collapsed="false">
      <c r="A31" s="0" t="n">
        <v>24</v>
      </c>
      <c r="B31" s="3" t="n">
        <v>0.364583333333333</v>
      </c>
      <c r="C31" s="3" t="n">
        <v>0.864583333333333</v>
      </c>
      <c r="D31" s="4" t="n">
        <f aca="false">IF(C31&lt;B31,C31+1,C31)-B31</f>
        <v>0.5</v>
      </c>
      <c r="E31" s="0" t="n">
        <f aca="false">D31*24</f>
        <v>12</v>
      </c>
      <c r="F31" s="0" t="n">
        <f aca="false">IF(E31&gt;$B$3,E31-$B$3,0)</f>
        <v>3.5</v>
      </c>
      <c r="G31" s="0" t="n">
        <f aca="false">IF(E31&lt;$B$3,$B$3-E31,0)</f>
        <v>0</v>
      </c>
      <c r="H31" s="0" t="n">
        <f aca="false">$B$5*(E31/$B$3)</f>
        <v>880</v>
      </c>
    </row>
    <row r="32" customFormat="false" ht="15" hidden="false" customHeight="false" outlineLevel="0" collapsed="false">
      <c r="A32" s="2" t="n">
        <v>25</v>
      </c>
      <c r="B32" s="3" t="n">
        <v>0.451388888888889</v>
      </c>
      <c r="C32" s="3" t="n">
        <v>0.859027777777778</v>
      </c>
      <c r="D32" s="4" t="n">
        <f aca="false">IF(C32&lt;B32,C32+1,C32)-B32</f>
        <v>0.407638888888889</v>
      </c>
      <c r="E32" s="0" t="n">
        <f aca="false">D32*24</f>
        <v>9.78333333333333</v>
      </c>
      <c r="F32" s="0" t="n">
        <f aca="false">IF(E32&gt;$B$3,E32-$B$3,0)</f>
        <v>1.28333333333333</v>
      </c>
      <c r="G32" s="0" t="n">
        <f aca="false">IF(E32&lt;$B$3,$B$3-E32,0)</f>
        <v>0</v>
      </c>
      <c r="H32" s="0" t="n">
        <f aca="false">$B$5*(E32/$B$3)</f>
        <v>717.444444444444</v>
      </c>
    </row>
    <row r="33" customFormat="false" ht="15" hidden="false" customHeight="false" outlineLevel="0" collapsed="false">
      <c r="A33" s="0" t="n">
        <v>26</v>
      </c>
      <c r="B33" s="3" t="n">
        <v>0.527777777777778</v>
      </c>
      <c r="C33" s="3" t="n">
        <v>0.889583333333333</v>
      </c>
      <c r="D33" s="4" t="n">
        <f aca="false">IF(C33&lt;B33,C33+1,C33)-B33</f>
        <v>0.361805555555556</v>
      </c>
      <c r="E33" s="0" t="n">
        <f aca="false">D33*24</f>
        <v>8.68333333333333</v>
      </c>
      <c r="F33" s="0" t="n">
        <f aca="false">IF(E33&gt;$B$3,E33-$B$3,0)</f>
        <v>0.183333333333334</v>
      </c>
      <c r="G33" s="0" t="n">
        <f aca="false">IF(E33&lt;$B$3,$B$3-E33,0)</f>
        <v>0</v>
      </c>
      <c r="H33" s="0" t="n">
        <f aca="false">$B$5*(E33/$B$3)</f>
        <v>636.777777777778</v>
      </c>
    </row>
    <row r="34" customFormat="false" ht="15" hidden="false" customHeight="false" outlineLevel="0" collapsed="false">
      <c r="A34" s="0" t="n">
        <v>27</v>
      </c>
      <c r="B34" s="3" t="n">
        <v>0.513888888888889</v>
      </c>
      <c r="C34" s="3" t="n">
        <v>0.878472222222222</v>
      </c>
      <c r="D34" s="4" t="n">
        <f aca="false">IF(C34&lt;B34,C34+1,C34)-B34</f>
        <v>0.364583333333333</v>
      </c>
      <c r="E34" s="0" t="n">
        <f aca="false">D34*24</f>
        <v>8.75</v>
      </c>
      <c r="F34" s="0" t="n">
        <f aca="false">IF(E34&gt;$B$3,E34-$B$3,0)</f>
        <v>0.25</v>
      </c>
      <c r="G34" s="0" t="n">
        <f aca="false">IF(E34&lt;$B$3,$B$3-E34,0)</f>
        <v>0</v>
      </c>
      <c r="H34" s="0" t="n">
        <f aca="false">$B$5*(E34/$B$3)</f>
        <v>641.666666666667</v>
      </c>
    </row>
    <row r="35" customFormat="false" ht="15" hidden="false" customHeight="false" outlineLevel="0" collapsed="false">
      <c r="A35" s="0" t="n">
        <v>28</v>
      </c>
      <c r="B35" s="3" t="n">
        <v>0.524305555555556</v>
      </c>
      <c r="C35" s="3" t="n">
        <v>0.913194444444444</v>
      </c>
      <c r="D35" s="4" t="n">
        <f aca="false">IF(C35&lt;B35,C35+1,C35)-B35</f>
        <v>0.388888888888889</v>
      </c>
      <c r="E35" s="0" t="n">
        <f aca="false">D35*24</f>
        <v>9.33333333333333</v>
      </c>
      <c r="F35" s="0" t="n">
        <f aca="false">IF(E35&gt;$B$3,E35-$B$3,0)</f>
        <v>0.833333333333334</v>
      </c>
      <c r="G35" s="0" t="n">
        <f aca="false">IF(E35&lt;$B$3,$B$3-E35,0)</f>
        <v>0</v>
      </c>
      <c r="H35" s="0" t="n">
        <f aca="false">$B$5*(E35/$B$3)</f>
        <v>684.444444444445</v>
      </c>
    </row>
    <row r="36" customFormat="false" ht="15" hidden="false" customHeight="false" outlineLevel="0" collapsed="false">
      <c r="A36" s="2" t="s">
        <v>21</v>
      </c>
      <c r="B36" s="3" t="n">
        <v>0.520833333333333</v>
      </c>
      <c r="C36" s="3" t="n">
        <v>0.875</v>
      </c>
      <c r="D36" s="4" t="n">
        <f aca="false">IF(C36&lt;B36,C36+1,C36)-B36</f>
        <v>0.354166666666667</v>
      </c>
      <c r="E36" s="0" t="n">
        <f aca="false">D36*24</f>
        <v>8.5</v>
      </c>
      <c r="F36" s="0" t="n">
        <f aca="false">IF(E36&gt;$B$3,E36-$B$3,0)</f>
        <v>0</v>
      </c>
      <c r="G36" s="0" t="n">
        <f aca="false">IF(E36&lt;$B$3,$B$3-E36,0)</f>
        <v>0</v>
      </c>
      <c r="H36" s="0" t="n">
        <f aca="false">$B$5*(E36/$B$3)</f>
        <v>623.333333333333</v>
      </c>
    </row>
    <row r="37" customFormat="false" ht="15" hidden="false" customHeight="false" outlineLevel="0" collapsed="false">
      <c r="A37" s="0" t="n">
        <v>30</v>
      </c>
      <c r="B37" s="3" t="n">
        <v>0.527777777777778</v>
      </c>
      <c r="C37" s="3" t="n">
        <v>0.927083333333333</v>
      </c>
      <c r="D37" s="4" t="n">
        <f aca="false">IF(C37&lt;B37,C37+1,C37)-B37</f>
        <v>0.399305555555556</v>
      </c>
      <c r="E37" s="0" t="n">
        <f aca="false">D37*24</f>
        <v>9.58333333333333</v>
      </c>
      <c r="F37" s="0" t="n">
        <f aca="false">IF(E37&gt;$B$3,E37-$B$3,0)</f>
        <v>1.08333333333333</v>
      </c>
      <c r="G37" s="0" t="n">
        <f aca="false">IF(E37&lt;$B$3,$B$3-E37,0)</f>
        <v>0</v>
      </c>
      <c r="H37" s="0" t="n">
        <f aca="false">$B$5*(E37/$B$3)</f>
        <v>702.777777777778</v>
      </c>
    </row>
    <row r="38" customFormat="false" ht="15" hidden="false" customHeight="false" outlineLevel="0" collapsed="false">
      <c r="A38" s="0" t="n">
        <v>31</v>
      </c>
      <c r="B38" s="3" t="n">
        <v>0.520833333333333</v>
      </c>
      <c r="C38" s="3" t="n">
        <v>0.524305555555556</v>
      </c>
      <c r="D38" s="4" t="n">
        <f aca="false">IF(C38&lt;B38,C38+1,C38)-B38</f>
        <v>0.00347222222222222</v>
      </c>
      <c r="E38" s="0" t="n">
        <f aca="false">D38*24</f>
        <v>0.0833333333333333</v>
      </c>
      <c r="F38" s="0" t="n">
        <f aca="false">IF(E38&gt;$B$3,E38-$B$3,0)</f>
        <v>0</v>
      </c>
      <c r="G38" s="0" t="n">
        <f aca="false">IF(E38&lt;$B$3,$B$3-E38,0)</f>
        <v>8.41666666666667</v>
      </c>
      <c r="H38" s="0" t="n">
        <f aca="false">$B$5*(E38/$B$3)</f>
        <v>6.11111111111111</v>
      </c>
    </row>
    <row r="40" customFormat="false" ht="15" hidden="false" customHeight="false" outlineLevel="0" collapsed="false">
      <c r="E40" s="0" t="n">
        <f aca="false">SUM(E8:E38)</f>
        <v>262.466666666677</v>
      </c>
      <c r="F40" s="0" t="n">
        <f aca="false">SUM(F8:F38)</f>
        <v>7.38333333334354</v>
      </c>
      <c r="G40" s="0" t="n">
        <f aca="false">SUM(G8:G38)</f>
        <v>8.41666666666667</v>
      </c>
      <c r="H40" s="0" t="n">
        <f aca="false">SUM(H8:H38)</f>
        <v>19247.5555555563</v>
      </c>
    </row>
    <row r="41" customFormat="false" ht="15" hidden="false" customHeight="false" outlineLevel="0" collapsed="false">
      <c r="A41" s="5" t="s">
        <v>23</v>
      </c>
    </row>
    <row r="43" customFormat="false" ht="15" hidden="false" customHeight="false" outlineLevel="0" collapsed="false">
      <c r="A43" s="5" t="s">
        <v>24</v>
      </c>
      <c r="B43" s="5" t="n">
        <f aca="false">H40-200</f>
        <v>19047.5555555563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2" activeCellId="0" sqref="B42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4.15"/>
    <col collapsed="false" customWidth="true" hidden="false" outlineLevel="0" max="2" min="2" style="0" width="18.29"/>
    <col collapsed="false" customWidth="true" hidden="false" outlineLevel="0" max="3" min="3" style="0" width="20.42"/>
    <col collapsed="false" customWidth="true" hidden="false" outlineLevel="0" max="4" min="4" style="0" width="16.14"/>
    <col collapsed="false" customWidth="true" hidden="false" outlineLevel="0" max="5" min="5" style="0" width="16.42"/>
    <col collapsed="false" customWidth="true" hidden="false" outlineLevel="0" max="6" min="6" style="0" width="16.29"/>
    <col collapsed="false" customWidth="true" hidden="false" outlineLevel="0" max="7" min="7" style="0" width="17.58"/>
    <col collapsed="false" customWidth="true" hidden="false" outlineLevel="0" max="8" min="8" style="0" width="15.86"/>
  </cols>
  <sheetData>
    <row r="1" customFormat="false" ht="15" hidden="false" customHeight="false" outlineLevel="0" collapsed="false">
      <c r="A1" s="0" t="s">
        <v>0</v>
      </c>
      <c r="B1" s="0" t="s">
        <v>46</v>
      </c>
    </row>
    <row r="2" customFormat="false" ht="15" hidden="false" customHeight="false" outlineLevel="0" collapsed="false">
      <c r="A2" s="0" t="s">
        <v>2</v>
      </c>
      <c r="B2" s="0" t="n">
        <v>25000</v>
      </c>
    </row>
    <row r="3" customFormat="false" ht="15" hidden="false" customHeight="false" outlineLevel="0" collapsed="false">
      <c r="A3" s="0" t="s">
        <v>3</v>
      </c>
      <c r="B3" s="0" t="n">
        <v>8.5</v>
      </c>
    </row>
    <row r="4" customFormat="false" ht="15" hidden="false" customHeight="false" outlineLevel="0" collapsed="false">
      <c r="A4" s="0" t="s">
        <v>4</v>
      </c>
      <c r="B4" s="0" t="n">
        <v>30</v>
      </c>
    </row>
    <row r="5" customFormat="false" ht="15" hidden="false" customHeight="false" outlineLevel="0" collapsed="false">
      <c r="A5" s="0" t="s">
        <v>5</v>
      </c>
      <c r="B5" s="0" t="n">
        <f aca="false">B2/B4</f>
        <v>833.333333333333</v>
      </c>
    </row>
    <row r="7" customFormat="false" ht="15" hidden="false" customHeight="false" outlineLevel="0" collapsed="false">
      <c r="A7" s="1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</row>
    <row r="8" customFormat="false" ht="15" hidden="false" customHeight="false" outlineLevel="0" collapsed="false">
      <c r="A8" s="2" t="s">
        <v>14</v>
      </c>
      <c r="B8" s="3" t="n">
        <v>0.375</v>
      </c>
      <c r="C8" s="3" t="n">
        <v>0.729166666666667</v>
      </c>
      <c r="D8" s="4" t="n">
        <f aca="false">IF(C8&lt;B8,C8+1,C8)-B8</f>
        <v>0.354166666666667</v>
      </c>
      <c r="E8" s="0" t="n">
        <f aca="false">D8*24</f>
        <v>8.5</v>
      </c>
      <c r="F8" s="0" t="n">
        <f aca="false">IF(E8&gt;$B$3,E8-$B$3,0)</f>
        <v>0</v>
      </c>
      <c r="G8" s="0" t="n">
        <f aca="false">IF(E8&lt;$B$3,$B$3-E8,0)</f>
        <v>0</v>
      </c>
      <c r="H8" s="0" t="n">
        <f aca="false">$B$5*(E8/$B$3)</f>
        <v>833.333333333333</v>
      </c>
    </row>
    <row r="9" customFormat="false" ht="15" hidden="false" customHeight="false" outlineLevel="0" collapsed="false">
      <c r="A9" s="0" t="n">
        <v>2</v>
      </c>
      <c r="B9" s="3" t="n">
        <v>1.375</v>
      </c>
      <c r="C9" s="3" t="n">
        <v>1.72916666666667</v>
      </c>
      <c r="D9" s="4" t="n">
        <f aca="false">IF(C9&lt;B9,C9+1,C9)-B9</f>
        <v>0.354166666666667</v>
      </c>
      <c r="E9" s="0" t="n">
        <f aca="false">D9*24</f>
        <v>8.5</v>
      </c>
      <c r="F9" s="0" t="n">
        <f aca="false">IF(E9&gt;$B$3,E9-$B$3,0)</f>
        <v>0</v>
      </c>
      <c r="G9" s="0" t="n">
        <f aca="false">IF(E9&lt;$B$3,$B$3-E9,0)</f>
        <v>0</v>
      </c>
      <c r="H9" s="0" t="n">
        <f aca="false">$B$5*(E9/$B$3)</f>
        <v>833.333333333333</v>
      </c>
    </row>
    <row r="10" customFormat="false" ht="15" hidden="false" customHeight="false" outlineLevel="0" collapsed="false">
      <c r="A10" s="0" t="n">
        <v>3</v>
      </c>
      <c r="B10" s="3" t="n">
        <v>2.375</v>
      </c>
      <c r="C10" s="3" t="n">
        <v>2.72916666666667</v>
      </c>
      <c r="D10" s="4" t="n">
        <f aca="false">IF(C10&lt;B10,C10+1,C10)-B10</f>
        <v>0.354166666666667</v>
      </c>
      <c r="E10" s="0" t="n">
        <f aca="false">D10*24</f>
        <v>8.5</v>
      </c>
      <c r="F10" s="0" t="n">
        <f aca="false">IF(E10&gt;$B$3,E10-$B$3,0)</f>
        <v>0</v>
      </c>
      <c r="G10" s="0" t="n">
        <f aca="false">IF(E10&lt;$B$3,$B$3-E10,0)</f>
        <v>0</v>
      </c>
      <c r="H10" s="0" t="n">
        <f aca="false">$B$5*(E10/$B$3)</f>
        <v>833.333333333333</v>
      </c>
    </row>
    <row r="11" customFormat="false" ht="15" hidden="false" customHeight="false" outlineLevel="0" collapsed="false">
      <c r="A11" s="0" t="n">
        <v>4</v>
      </c>
      <c r="B11" s="3" t="n">
        <v>3.375</v>
      </c>
      <c r="C11" s="3" t="n">
        <v>3.72916666666667</v>
      </c>
      <c r="D11" s="4" t="n">
        <f aca="false">IF(C11&lt;B11,C11+1,C11)-B11</f>
        <v>0.354166666666667</v>
      </c>
      <c r="E11" s="0" t="n">
        <f aca="false">D11*24</f>
        <v>8.5</v>
      </c>
      <c r="F11" s="0" t="n">
        <f aca="false">IF(E11&gt;$B$3,E11-$B$3,0)</f>
        <v>0</v>
      </c>
      <c r="G11" s="0" t="n">
        <f aca="false">IF(E11&lt;$B$3,$B$3-E11,0)</f>
        <v>0</v>
      </c>
      <c r="H11" s="0" t="n">
        <f aca="false">$B$5*(E11/$B$3)</f>
        <v>833.333333333333</v>
      </c>
    </row>
    <row r="12" customFormat="false" ht="15" hidden="false" customHeight="false" outlineLevel="0" collapsed="false">
      <c r="A12" s="0" t="n">
        <v>5</v>
      </c>
      <c r="B12" s="3" t="n">
        <v>4.375</v>
      </c>
      <c r="C12" s="3" t="n">
        <v>4.72916666666667</v>
      </c>
      <c r="D12" s="4" t="n">
        <f aca="false">IF(C12&lt;B12,C12+1,C12)-B12</f>
        <v>0.354166666666667</v>
      </c>
      <c r="E12" s="0" t="n">
        <f aca="false">D12*24</f>
        <v>8.5</v>
      </c>
      <c r="F12" s="0" t="n">
        <f aca="false">IF(E12&gt;$B$3,E12-$B$3,0)</f>
        <v>0</v>
      </c>
      <c r="G12" s="0" t="n">
        <f aca="false">IF(E12&lt;$B$3,$B$3-E12,0)</f>
        <v>0</v>
      </c>
      <c r="H12" s="0" t="n">
        <f aca="false">$B$5*(E12/$B$3)</f>
        <v>833.333333333333</v>
      </c>
    </row>
    <row r="13" customFormat="false" ht="15" hidden="false" customHeight="false" outlineLevel="0" collapsed="false">
      <c r="A13" s="0" t="n">
        <v>6</v>
      </c>
      <c r="B13" s="3" t="n">
        <v>5.375</v>
      </c>
      <c r="C13" s="3" t="n">
        <v>5.72916666666667</v>
      </c>
      <c r="D13" s="4" t="n">
        <f aca="false">IF(C13&lt;B13,C13+1,C13)-B13</f>
        <v>0.354166666666667</v>
      </c>
      <c r="E13" s="0" t="n">
        <f aca="false">D13*24</f>
        <v>8.5</v>
      </c>
      <c r="F13" s="0" t="n">
        <f aca="false">IF(E13&gt;$B$3,E13-$B$3,0)</f>
        <v>0</v>
      </c>
      <c r="G13" s="0" t="n">
        <f aca="false">IF(E13&lt;$B$3,$B$3-E13,0)</f>
        <v>0</v>
      </c>
      <c r="H13" s="0" t="n">
        <f aca="false">$B$5*(E13/$B$3)</f>
        <v>833.333333333333</v>
      </c>
    </row>
    <row r="14" customFormat="false" ht="15" hidden="false" customHeight="false" outlineLevel="0" collapsed="false">
      <c r="A14" s="0" t="n">
        <v>7</v>
      </c>
      <c r="B14" s="3" t="n">
        <v>6.375</v>
      </c>
      <c r="C14" s="3" t="n">
        <v>6.72916666666667</v>
      </c>
      <c r="D14" s="4" t="n">
        <f aca="false">IF(C14&lt;B14,C14+1,C14)-B14</f>
        <v>0.354166666666667</v>
      </c>
      <c r="E14" s="0" t="n">
        <f aca="false">D14*24</f>
        <v>8.5</v>
      </c>
      <c r="F14" s="0" t="n">
        <f aca="false">IF(E14&gt;$B$3,E14-$B$3,0)</f>
        <v>0</v>
      </c>
      <c r="G14" s="0" t="n">
        <f aca="false">IF(E14&lt;$B$3,$B$3-E14,0)</f>
        <v>0</v>
      </c>
      <c r="H14" s="0" t="n">
        <f aca="false">$B$5*(E14/$B$3)</f>
        <v>833.333333333333</v>
      </c>
    </row>
    <row r="15" customFormat="false" ht="15" hidden="false" customHeight="false" outlineLevel="0" collapsed="false">
      <c r="A15" s="2" t="s">
        <v>17</v>
      </c>
      <c r="B15" s="3" t="n">
        <v>7.375</v>
      </c>
      <c r="C15" s="3" t="n">
        <v>7.72916666666667</v>
      </c>
      <c r="D15" s="4" t="n">
        <f aca="false">IF(C15&lt;B15,C15+1,C15)-B15</f>
        <v>0.354166666666667</v>
      </c>
      <c r="E15" s="0" t="n">
        <f aca="false">D15*24</f>
        <v>8.5</v>
      </c>
      <c r="F15" s="0" t="n">
        <f aca="false">IF(E15&gt;$B$3,E15-$B$3,0)</f>
        <v>0</v>
      </c>
      <c r="G15" s="0" t="n">
        <f aca="false">IF(E15&lt;$B$3,$B$3-E15,0)</f>
        <v>0</v>
      </c>
      <c r="H15" s="0" t="n">
        <f aca="false">$B$5*(E15/$B$3)</f>
        <v>833.333333333333</v>
      </c>
    </row>
    <row r="16" customFormat="false" ht="15" hidden="false" customHeight="false" outlineLevel="0" collapsed="false">
      <c r="A16" s="2" t="s">
        <v>47</v>
      </c>
      <c r="B16" s="3" t="n">
        <v>8.375</v>
      </c>
      <c r="C16" s="3" t="n">
        <v>8.72916666666667</v>
      </c>
      <c r="D16" s="4" t="n">
        <f aca="false">IF(C16&lt;B16,C16+1,C16)-B16</f>
        <v>0.354166666666667</v>
      </c>
      <c r="E16" s="0" t="n">
        <f aca="false">D16*24</f>
        <v>8.5</v>
      </c>
      <c r="F16" s="0" t="n">
        <f aca="false">IF(E16&gt;$B$3,E16-$B$3,0)</f>
        <v>0</v>
      </c>
      <c r="G16" s="0" t="n">
        <f aca="false">IF(E16&lt;$B$3,$B$3-E16,0)</f>
        <v>0</v>
      </c>
      <c r="H16" s="0" t="n">
        <f aca="false">$B$5*(E16/$B$3)</f>
        <v>833.333333333333</v>
      </c>
    </row>
    <row r="17" customFormat="false" ht="15" hidden="false" customHeight="false" outlineLevel="0" collapsed="false">
      <c r="A17" s="0" t="n">
        <v>10</v>
      </c>
      <c r="B17" s="3" t="n">
        <v>9.375</v>
      </c>
      <c r="C17" s="3" t="n">
        <v>9.72916666666667</v>
      </c>
      <c r="D17" s="4" t="n">
        <f aca="false">IF(C17&lt;B17,C17+1,C17)-B17</f>
        <v>0.354166666666667</v>
      </c>
      <c r="E17" s="0" t="n">
        <f aca="false">D17*24</f>
        <v>8.5</v>
      </c>
      <c r="F17" s="0" t="n">
        <f aca="false">IF(E17&gt;$B$3,E17-$B$3,0)</f>
        <v>0</v>
      </c>
      <c r="G17" s="0" t="n">
        <f aca="false">IF(E17&lt;$B$3,$B$3-E17,0)</f>
        <v>0</v>
      </c>
      <c r="H17" s="0" t="n">
        <f aca="false">$B$5*(E17/$B$3)</f>
        <v>833.333333333333</v>
      </c>
    </row>
    <row r="18" customFormat="false" ht="15" hidden="false" customHeight="false" outlineLevel="0" collapsed="false">
      <c r="A18" s="0" t="n">
        <v>11</v>
      </c>
      <c r="B18" s="3" t="n">
        <v>10.375</v>
      </c>
      <c r="C18" s="3" t="n">
        <v>10.7291666666667</v>
      </c>
      <c r="D18" s="4" t="n">
        <f aca="false">IF(C18&lt;B18,C18+1,C18)-B18</f>
        <v>0.354166666666667</v>
      </c>
      <c r="E18" s="0" t="n">
        <f aca="false">D18*24</f>
        <v>8.5</v>
      </c>
      <c r="F18" s="0" t="n">
        <f aca="false">IF(E18&gt;$B$3,E18-$B$3,0)</f>
        <v>0</v>
      </c>
      <c r="G18" s="0" t="n">
        <f aca="false">IF(E18&lt;$B$3,$B$3-E18,0)</f>
        <v>0</v>
      </c>
      <c r="H18" s="0" t="n">
        <f aca="false">$B$5*(E18/$B$3)</f>
        <v>833.333333333333</v>
      </c>
    </row>
    <row r="19" customFormat="false" ht="15" hidden="false" customHeight="false" outlineLevel="0" collapsed="false">
      <c r="A19" s="0" t="n">
        <v>12</v>
      </c>
      <c r="B19" s="3" t="n">
        <v>11.375</v>
      </c>
      <c r="C19" s="3" t="n">
        <v>11.7291666666667</v>
      </c>
      <c r="D19" s="4" t="n">
        <f aca="false">IF(C19&lt;B19,C19+1,C19)-B19</f>
        <v>0.354166666666667</v>
      </c>
      <c r="E19" s="0" t="n">
        <f aca="false">D19*24</f>
        <v>8.5</v>
      </c>
      <c r="F19" s="0" t="n">
        <f aca="false">IF(E19&gt;$B$3,E19-$B$3,0)</f>
        <v>0</v>
      </c>
      <c r="G19" s="0" t="n">
        <f aca="false">IF(E19&lt;$B$3,$B$3-E19,0)</f>
        <v>0</v>
      </c>
      <c r="H19" s="0" t="n">
        <f aca="false">$B$5*(E19/$B$3)</f>
        <v>833.333333333333</v>
      </c>
    </row>
    <row r="20" customFormat="false" ht="15" hidden="false" customHeight="false" outlineLevel="0" collapsed="false">
      <c r="A20" s="0" t="n">
        <v>13</v>
      </c>
      <c r="B20" s="3" t="n">
        <v>12.375</v>
      </c>
      <c r="C20" s="3" t="n">
        <v>12.7291666666667</v>
      </c>
      <c r="D20" s="4" t="n">
        <f aca="false">IF(C20&lt;B20,C20+1,C20)-B20</f>
        <v>0.354166666666667</v>
      </c>
      <c r="E20" s="0" t="n">
        <f aca="false">D20*24</f>
        <v>8.5</v>
      </c>
      <c r="F20" s="0" t="n">
        <f aca="false">IF(E20&gt;$B$3,E20-$B$3,0)</f>
        <v>0</v>
      </c>
      <c r="G20" s="0" t="n">
        <f aca="false">IF(E20&lt;$B$3,$B$3-E20,0)</f>
        <v>0</v>
      </c>
      <c r="H20" s="0" t="n">
        <f aca="false">$B$5*(E20/$B$3)</f>
        <v>833.333333333333</v>
      </c>
    </row>
    <row r="21" customFormat="false" ht="15" hidden="false" customHeight="false" outlineLevel="0" collapsed="false">
      <c r="A21" s="0" t="n">
        <v>14</v>
      </c>
      <c r="B21" s="3" t="n">
        <v>13.375</v>
      </c>
      <c r="C21" s="3" t="n">
        <v>13.7291666666667</v>
      </c>
      <c r="D21" s="4" t="n">
        <f aca="false">IF(C21&lt;B21,C21+1,C21)-B21</f>
        <v>0.354166666666667</v>
      </c>
      <c r="E21" s="0" t="n">
        <f aca="false">D21*24</f>
        <v>8.5</v>
      </c>
      <c r="F21" s="0" t="n">
        <f aca="false">IF(E21&gt;$B$3,E21-$B$3,0)</f>
        <v>0</v>
      </c>
      <c r="G21" s="0" t="n">
        <f aca="false">IF(E21&lt;$B$3,$B$3-E21,0)</f>
        <v>0</v>
      </c>
      <c r="H21" s="0" t="n">
        <f aca="false">$B$5*(E21/$B$3)</f>
        <v>833.333333333333</v>
      </c>
    </row>
    <row r="22" customFormat="false" ht="15" hidden="false" customHeight="false" outlineLevel="0" collapsed="false">
      <c r="A22" s="2" t="s">
        <v>18</v>
      </c>
      <c r="B22" s="3" t="n">
        <v>14.375</v>
      </c>
      <c r="C22" s="3" t="n">
        <v>14.7291666666667</v>
      </c>
      <c r="D22" s="4" t="n">
        <f aca="false">IF(C22&lt;B22,C22+1,C22)-B22</f>
        <v>0.354166666666667</v>
      </c>
      <c r="E22" s="0" t="n">
        <f aca="false">D22*24</f>
        <v>8.5</v>
      </c>
      <c r="F22" s="0" t="n">
        <f aca="false">IF(E22&gt;$B$3,E22-$B$3,0)</f>
        <v>0</v>
      </c>
      <c r="G22" s="0" t="n">
        <f aca="false">IF(E22&lt;$B$3,$B$3-E22,0)</f>
        <v>0</v>
      </c>
      <c r="H22" s="0" t="n">
        <f aca="false">$B$5*(E22/$B$3)</f>
        <v>833.333333333333</v>
      </c>
    </row>
    <row r="23" customFormat="false" ht="15" hidden="false" customHeight="false" outlineLevel="0" collapsed="false">
      <c r="A23" s="0" t="n">
        <v>16</v>
      </c>
      <c r="B23" s="3" t="n">
        <v>15.375</v>
      </c>
      <c r="C23" s="3" t="n">
        <v>15.7291666666667</v>
      </c>
      <c r="D23" s="4" t="n">
        <f aca="false">IF(C23&lt;B23,C23+1,C23)-B23</f>
        <v>0.354166666666667</v>
      </c>
      <c r="E23" s="0" t="n">
        <f aca="false">D23*24</f>
        <v>8.5</v>
      </c>
      <c r="F23" s="0" t="n">
        <f aca="false">IF(E23&gt;$B$3,E23-$B$3,0)</f>
        <v>0</v>
      </c>
      <c r="G23" s="0" t="n">
        <f aca="false">IF(E23&lt;$B$3,$B$3-E23,0)</f>
        <v>0</v>
      </c>
      <c r="H23" s="0" t="n">
        <f aca="false">$B$5*(E23/$B$3)</f>
        <v>833.333333333333</v>
      </c>
    </row>
    <row r="24" customFormat="false" ht="15" hidden="false" customHeight="false" outlineLevel="0" collapsed="false">
      <c r="A24" s="0" t="n">
        <v>17</v>
      </c>
      <c r="B24" s="3" t="n">
        <v>16.375</v>
      </c>
      <c r="C24" s="3" t="n">
        <v>16.7291666666667</v>
      </c>
      <c r="D24" s="4" t="n">
        <f aca="false">IF(C24&lt;B24,C24+1,C24)-B24</f>
        <v>0.354166666666667</v>
      </c>
      <c r="E24" s="0" t="n">
        <f aca="false">D24*24</f>
        <v>8.5</v>
      </c>
      <c r="F24" s="0" t="n">
        <f aca="false">IF(E24&gt;$B$3,E24-$B$3,0)</f>
        <v>0</v>
      </c>
      <c r="G24" s="0" t="n">
        <f aca="false">IF(E24&lt;$B$3,$B$3-E24,0)</f>
        <v>0</v>
      </c>
      <c r="H24" s="0" t="n">
        <f aca="false">$B$5*(E24/$B$3)</f>
        <v>833.333333333333</v>
      </c>
    </row>
    <row r="25" customFormat="false" ht="15" hidden="false" customHeight="false" outlineLevel="0" collapsed="false">
      <c r="A25" s="0" t="n">
        <v>18</v>
      </c>
      <c r="B25" s="3" t="n">
        <v>17.375</v>
      </c>
      <c r="C25" s="3" t="n">
        <v>17.7291666666667</v>
      </c>
      <c r="D25" s="4" t="n">
        <f aca="false">IF(C25&lt;B25,C25+1,C25)-B25</f>
        <v>0.354166666666667</v>
      </c>
      <c r="E25" s="0" t="n">
        <f aca="false">D25*24</f>
        <v>8.5</v>
      </c>
      <c r="F25" s="0" t="n">
        <f aca="false">IF(E25&gt;$B$3,E25-$B$3,0)</f>
        <v>0</v>
      </c>
      <c r="G25" s="0" t="n">
        <f aca="false">IF(E25&lt;$B$3,$B$3-E25,0)</f>
        <v>0</v>
      </c>
      <c r="H25" s="0" t="n">
        <f aca="false">$B$5*(E25/$B$3)</f>
        <v>833.333333333333</v>
      </c>
    </row>
    <row r="26" customFormat="false" ht="15" hidden="false" customHeight="false" outlineLevel="0" collapsed="false">
      <c r="A26" s="0" t="n">
        <v>19</v>
      </c>
      <c r="B26" s="3" t="n">
        <v>18.375</v>
      </c>
      <c r="C26" s="3" t="n">
        <v>18.7291666666667</v>
      </c>
      <c r="D26" s="4" t="n">
        <f aca="false">IF(C26&lt;B26,C26+1,C26)-B26</f>
        <v>0.354166666666667</v>
      </c>
      <c r="E26" s="0" t="n">
        <f aca="false">D26*24</f>
        <v>8.5</v>
      </c>
      <c r="F26" s="0" t="n">
        <f aca="false">IF(E26&gt;$B$3,E26-$B$3,0)</f>
        <v>0</v>
      </c>
      <c r="G26" s="0" t="n">
        <f aca="false">IF(E26&lt;$B$3,$B$3-E26,0)</f>
        <v>0</v>
      </c>
      <c r="H26" s="0" t="n">
        <f aca="false">$B$5*(E26/$B$3)</f>
        <v>833.333333333333</v>
      </c>
    </row>
    <row r="27" customFormat="false" ht="15" hidden="false" customHeight="false" outlineLevel="0" collapsed="false">
      <c r="A27" s="0" t="n">
        <v>20</v>
      </c>
      <c r="B27" s="3" t="n">
        <v>19.375</v>
      </c>
      <c r="C27" s="3" t="n">
        <v>19.7291666666667</v>
      </c>
      <c r="D27" s="4" t="n">
        <f aca="false">IF(C27&lt;B27,C27+1,C27)-B27</f>
        <v>0.354166666666667</v>
      </c>
      <c r="E27" s="0" t="n">
        <f aca="false">D27*24</f>
        <v>8.5</v>
      </c>
      <c r="F27" s="0" t="n">
        <f aca="false">IF(E27&gt;$B$3,E27-$B$3,0)</f>
        <v>0</v>
      </c>
      <c r="G27" s="0" t="n">
        <f aca="false">IF(E27&lt;$B$3,$B$3-E27,0)</f>
        <v>0</v>
      </c>
      <c r="H27" s="0" t="n">
        <f aca="false">$B$5*(E27/$B$3)</f>
        <v>833.333333333333</v>
      </c>
    </row>
    <row r="28" customFormat="false" ht="15" hidden="false" customHeight="false" outlineLevel="0" collapsed="false">
      <c r="A28" s="0" t="n">
        <v>21</v>
      </c>
      <c r="B28" s="3" t="n">
        <v>20.375</v>
      </c>
      <c r="C28" s="3" t="n">
        <v>20.7291666666667</v>
      </c>
      <c r="D28" s="4" t="n">
        <f aca="false">IF(C28&lt;B28,C28+1,C28)-B28</f>
        <v>0.354166666666667</v>
      </c>
      <c r="E28" s="0" t="n">
        <f aca="false">D28*24</f>
        <v>8.5</v>
      </c>
      <c r="F28" s="0" t="n">
        <f aca="false">IF(E28&gt;$B$3,E28-$B$3,0)</f>
        <v>0</v>
      </c>
      <c r="G28" s="0" t="n">
        <f aca="false">IF(E28&lt;$B$3,$B$3-E28,0)</f>
        <v>0</v>
      </c>
      <c r="H28" s="0" t="n">
        <f aca="false">$B$5*(E28/$B$3)</f>
        <v>833.333333333333</v>
      </c>
    </row>
    <row r="29" customFormat="false" ht="15" hidden="false" customHeight="false" outlineLevel="0" collapsed="false">
      <c r="A29" s="2" t="s">
        <v>20</v>
      </c>
      <c r="B29" s="3" t="n">
        <v>21.375</v>
      </c>
      <c r="C29" s="3" t="n">
        <v>21.7291666666667</v>
      </c>
      <c r="D29" s="4" t="n">
        <f aca="false">IF(C29&lt;B29,C29+1,C29)-B29</f>
        <v>0.354166666666667</v>
      </c>
      <c r="E29" s="0" t="n">
        <f aca="false">D29*24</f>
        <v>8.5</v>
      </c>
      <c r="F29" s="0" t="n">
        <f aca="false">IF(E29&gt;$B$3,E29-$B$3,0)</f>
        <v>0</v>
      </c>
      <c r="G29" s="0" t="n">
        <f aca="false">IF(E29&lt;$B$3,$B$3-E29,0)</f>
        <v>0</v>
      </c>
      <c r="H29" s="0" t="n">
        <f aca="false">$B$5*(E29/$B$3)</f>
        <v>833.333333333333</v>
      </c>
    </row>
    <row r="30" customFormat="false" ht="15" hidden="false" customHeight="false" outlineLevel="0" collapsed="false">
      <c r="A30" s="2" t="s">
        <v>48</v>
      </c>
      <c r="B30" s="3" t="n">
        <v>0.375</v>
      </c>
      <c r="C30" s="3" t="n">
        <v>0.729166666666667</v>
      </c>
      <c r="D30" s="4" t="n">
        <f aca="false">IF(C30&lt;B30,C30+1,C30)-B30</f>
        <v>0.354166666666667</v>
      </c>
      <c r="E30" s="0" t="n">
        <f aca="false">D30*24</f>
        <v>8.5</v>
      </c>
      <c r="F30" s="0" t="n">
        <f aca="false">IF(E30&gt;$B$3,E30-$B$3,0)</f>
        <v>0</v>
      </c>
      <c r="G30" s="0" t="n">
        <f aca="false">IF(E30&lt;$B$3,$B$3-E30,0)</f>
        <v>0</v>
      </c>
      <c r="H30" s="0" t="n">
        <f aca="false">$B$5*(E30/$B$3)</f>
        <v>833.333333333333</v>
      </c>
    </row>
    <row r="31" customFormat="false" ht="15" hidden="false" customHeight="false" outlineLevel="0" collapsed="false">
      <c r="A31" s="0" t="n">
        <v>24</v>
      </c>
      <c r="B31" s="3"/>
      <c r="C31" s="3"/>
      <c r="D31" s="4" t="n">
        <f aca="false">IF(C31&lt;B31,C31+1,C31)-B31</f>
        <v>0</v>
      </c>
      <c r="E31" s="0" t="n">
        <f aca="false">D31*24</f>
        <v>0</v>
      </c>
      <c r="F31" s="0" t="n">
        <f aca="false">IF(E31&gt;$B$3,E31-$B$3,0)</f>
        <v>0</v>
      </c>
      <c r="G31" s="0" t="n">
        <f aca="false">IF(E31&lt;$B$3,$B$3-E31,0)</f>
        <v>8.5</v>
      </c>
      <c r="H31" s="0" t="n">
        <f aca="false">$B$5*(E31/$B$3)</f>
        <v>0</v>
      </c>
    </row>
    <row r="32" customFormat="false" ht="15" hidden="false" customHeight="false" outlineLevel="0" collapsed="false">
      <c r="A32" s="2" t="n">
        <v>25</v>
      </c>
      <c r="D32" s="0" t="n">
        <f aca="false">IF(C32&lt;B32,C32+1,C32)-B32</f>
        <v>0</v>
      </c>
      <c r="E32" s="0" t="n">
        <f aca="false">D32*24</f>
        <v>0</v>
      </c>
      <c r="F32" s="0" t="n">
        <f aca="false">IF(E32&gt;$B$3,E32-$B$3,0)</f>
        <v>0</v>
      </c>
      <c r="G32" s="0" t="n">
        <f aca="false">IF(E32&lt;$B$3,$B$3-E32,0)</f>
        <v>8.5</v>
      </c>
      <c r="H32" s="0" t="n">
        <f aca="false">$B$5*(E32/$B$3)</f>
        <v>0</v>
      </c>
    </row>
    <row r="33" customFormat="false" ht="15" hidden="false" customHeight="false" outlineLevel="0" collapsed="false">
      <c r="A33" s="0" t="n">
        <v>26</v>
      </c>
      <c r="B33" s="3" t="n">
        <v>21.375</v>
      </c>
      <c r="C33" s="3" t="n">
        <v>21.7291666666667</v>
      </c>
      <c r="D33" s="4" t="n">
        <f aca="false">IF(C33&lt;B33,C33+1,C33)-B33</f>
        <v>0.354166666666667</v>
      </c>
      <c r="E33" s="0" t="n">
        <f aca="false">D33*24</f>
        <v>8.5</v>
      </c>
      <c r="F33" s="0" t="n">
        <f aca="false">IF(E33&gt;$B$3,E33-$B$3,0)</f>
        <v>0</v>
      </c>
      <c r="G33" s="0" t="n">
        <f aca="false">IF(E33&lt;$B$3,$B$3-E33,0)</f>
        <v>0</v>
      </c>
      <c r="H33" s="0" t="n">
        <f aca="false">$B$5*(E33/$B$3)</f>
        <v>833.333333333333</v>
      </c>
    </row>
    <row r="34" customFormat="false" ht="15" hidden="false" customHeight="false" outlineLevel="0" collapsed="false">
      <c r="A34" s="0" t="n">
        <v>27</v>
      </c>
      <c r="B34" s="3" t="n">
        <v>0.408333333333333</v>
      </c>
      <c r="C34" s="3" t="n">
        <v>0.768055555555556</v>
      </c>
      <c r="D34" s="4" t="n">
        <f aca="false">IF(C34&lt;B34,C34+1,C34)-B34</f>
        <v>0.359722222222222</v>
      </c>
      <c r="E34" s="0" t="n">
        <f aca="false">D34*24</f>
        <v>8.63333333333333</v>
      </c>
      <c r="F34" s="0" t="n">
        <f aca="false">IF(E34&gt;$B$3,E34-$B$3,0)</f>
        <v>0.133333333333333</v>
      </c>
      <c r="G34" s="0" t="n">
        <f aca="false">IF(E34&lt;$B$3,$B$3-E34,0)</f>
        <v>0</v>
      </c>
      <c r="H34" s="0" t="n">
        <f aca="false">$B$5*(E34/$B$3)</f>
        <v>846.40522875817</v>
      </c>
    </row>
    <row r="35" customFormat="false" ht="15" hidden="false" customHeight="false" outlineLevel="0" collapsed="false">
      <c r="A35" s="0" t="n">
        <v>28</v>
      </c>
      <c r="B35" s="3" t="n">
        <v>0.378472222222222</v>
      </c>
      <c r="C35" s="3" t="n">
        <v>0.783333333333333</v>
      </c>
      <c r="D35" s="4" t="n">
        <f aca="false">IF(C35&lt;B35,C35+1,C35)-B35</f>
        <v>0.404861111111111</v>
      </c>
      <c r="E35" s="0" t="n">
        <f aca="false">D35*24</f>
        <v>9.71666666666667</v>
      </c>
      <c r="F35" s="0" t="n">
        <f aca="false">IF(E35&gt;$B$3,E35-$B$3,0)</f>
        <v>1.21666666666667</v>
      </c>
      <c r="G35" s="0" t="n">
        <f aca="false">IF(E35&lt;$B$3,$B$3-E35,0)</f>
        <v>0</v>
      </c>
      <c r="H35" s="0" t="n">
        <f aca="false">$B$5*(E35/$B$3)</f>
        <v>952.614379084967</v>
      </c>
    </row>
    <row r="36" customFormat="false" ht="15" hidden="false" customHeight="false" outlineLevel="0" collapsed="false">
      <c r="A36" s="2" t="s">
        <v>21</v>
      </c>
      <c r="B36" s="3" t="n">
        <v>0.375</v>
      </c>
      <c r="C36" s="3" t="n">
        <v>0.729166666666667</v>
      </c>
      <c r="D36" s="4" t="n">
        <f aca="false">IF(C36&lt;B36,C36+1,C36)-B36</f>
        <v>0.354166666666667</v>
      </c>
      <c r="E36" s="0" t="n">
        <f aca="false">D36*24</f>
        <v>8.5</v>
      </c>
      <c r="F36" s="0" t="n">
        <f aca="false">IF(E36&gt;$B$3,E36-$B$3,0)</f>
        <v>0</v>
      </c>
      <c r="G36" s="0" t="n">
        <f aca="false">IF(E36&lt;$B$3,$B$3-E36,0)</f>
        <v>0</v>
      </c>
      <c r="H36" s="0" t="n">
        <f aca="false">$B$5*(E36/$B$3)</f>
        <v>833.333333333333</v>
      </c>
    </row>
    <row r="37" customFormat="false" ht="15" hidden="false" customHeight="false" outlineLevel="0" collapsed="false">
      <c r="A37" s="0" t="n">
        <v>30</v>
      </c>
      <c r="B37" s="3" t="n">
        <v>21.375</v>
      </c>
      <c r="C37" s="3" t="n">
        <v>21.7291666666667</v>
      </c>
      <c r="D37" s="4" t="n">
        <f aca="false">IF(C37&lt;B37,C37+1,C37)-B37</f>
        <v>0.354166666666667</v>
      </c>
      <c r="E37" s="0" t="n">
        <f aca="false">D37*24</f>
        <v>8.5</v>
      </c>
      <c r="F37" s="0" t="n">
        <f aca="false">IF(E37&gt;$B$3,E37-$B$3,0)</f>
        <v>0</v>
      </c>
      <c r="G37" s="0" t="n">
        <f aca="false">IF(E37&lt;$B$3,$B$3-E37,0)</f>
        <v>0</v>
      </c>
      <c r="H37" s="0" t="n">
        <f aca="false">$B$5*(E37/$B$3)</f>
        <v>833.333333333333</v>
      </c>
    </row>
    <row r="38" customFormat="false" ht="15" hidden="false" customHeight="false" outlineLevel="0" collapsed="false">
      <c r="A38" s="0" t="n">
        <v>31</v>
      </c>
      <c r="B38" s="3" t="n">
        <v>0.375</v>
      </c>
      <c r="C38" s="3" t="n">
        <v>0.463888888888889</v>
      </c>
      <c r="D38" s="4" t="n">
        <f aca="false">IF(C38&lt;B38,C38+1,C38)-B38</f>
        <v>0.0888888888888889</v>
      </c>
      <c r="E38" s="0" t="n">
        <f aca="false">D38*24</f>
        <v>2.13333333333333</v>
      </c>
      <c r="F38" s="0" t="n">
        <f aca="false">IF(E38&gt;$B$3,E38-$B$3,0)</f>
        <v>0</v>
      </c>
      <c r="G38" s="0" t="n">
        <f aca="false">IF(E38&lt;$B$3,$B$3-E38,0)</f>
        <v>6.36666666666667</v>
      </c>
      <c r="H38" s="0" t="n">
        <f aca="false">$B$5*(E38/$B$3)</f>
        <v>209.150326797386</v>
      </c>
    </row>
    <row r="39" customFormat="false" ht="15" hidden="false" customHeight="false" outlineLevel="0" collapsed="false">
      <c r="B39" s="3"/>
      <c r="D39" s="4"/>
    </row>
    <row r="40" customFormat="false" ht="15" hidden="false" customHeight="false" outlineLevel="0" collapsed="false">
      <c r="A40" s="6" t="s">
        <v>23</v>
      </c>
      <c r="E40" s="0" t="n">
        <f aca="false">SUM(E8:E38)</f>
        <v>241.483333333345</v>
      </c>
      <c r="F40" s="0" t="n">
        <f aca="false">SUM(F8:F38)</f>
        <v>1.35000000001185</v>
      </c>
      <c r="H40" s="0" t="n">
        <f aca="false">SUM(H8:H38)</f>
        <v>23674.8366013084</v>
      </c>
    </row>
    <row r="42" customFormat="false" ht="15" hidden="false" customHeight="false" outlineLevel="0" collapsed="false">
      <c r="A42" s="6" t="s">
        <v>24</v>
      </c>
      <c r="B42" s="5" t="n">
        <f aca="false">H40-200</f>
        <v>23474.8366013084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2026-04-02T11:44:11Z</dcterms:created>
  <dc:creator>openpyxl</dc:creator>
  <dc:description/>
  <dc:language>en-US</dc:language>
  <cp:lastModifiedBy>Reception</cp:lastModifiedBy>
  <dcterms:modified xsi:type="dcterms:W3CDTF">2026-04-10T17:58:25Z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